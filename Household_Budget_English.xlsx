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  <sheet state="visible" name="Sheet4" sheetId="4" r:id="rId8"/>
    <sheet state="visible" name="Sheet5" sheetId="5" r:id="rId9"/>
    <sheet state="visible" name="Sheet6" sheetId="6" r:id="rId10"/>
  </sheets>
  <definedNames/>
  <calcPr/>
</workbook>
</file>

<file path=xl/sharedStrings.xml><?xml version="1.0" encoding="utf-8"?>
<sst xmlns="http://schemas.openxmlformats.org/spreadsheetml/2006/main" count="608" uniqueCount="213">
  <si>
    <t>Date</t>
  </si>
  <si>
    <t>Amount</t>
  </si>
  <si>
    <t>Product</t>
  </si>
  <si>
    <t>Category</t>
  </si>
  <si>
    <t>Monthly Total</t>
  </si>
  <si>
    <t>Total Spending</t>
  </si>
  <si>
    <t>Essentials</t>
  </si>
  <si>
    <t>Groceries</t>
  </si>
  <si>
    <t>Supplements</t>
  </si>
  <si>
    <t>Transportation</t>
  </si>
  <si>
    <t>Dining</t>
  </si>
  <si>
    <t>Luxury</t>
  </si>
  <si>
    <t>기타</t>
  </si>
  <si>
    <t>Rice Cooker</t>
  </si>
  <si>
    <t>Rice 15 lbs</t>
  </si>
  <si>
    <t>Food</t>
  </si>
  <si>
    <t>Body Wash 28 oz</t>
  </si>
  <si>
    <t>Multivitamin</t>
  </si>
  <si>
    <t>Food Expense</t>
  </si>
  <si>
    <t>Daily Food Expense</t>
  </si>
  <si>
    <t>Cost Per Meal (2.5 meals/day)</t>
  </si>
  <si>
    <t>Headphone Charger</t>
  </si>
  <si>
    <t>U Lock</t>
  </si>
  <si>
    <t>Toothbrush 6-pack</t>
  </si>
  <si>
    <t>Toothpaste 4-pack</t>
  </si>
  <si>
    <t>Water Filter 4-pack</t>
  </si>
  <si>
    <t>Detergent 140 oz</t>
  </si>
  <si>
    <t>Taxi (Bus station to home)</t>
  </si>
  <si>
    <t>Amazon Prime</t>
  </si>
  <si>
    <t>Subscription</t>
  </si>
  <si>
    <t>Taxi (DMV)</t>
  </si>
  <si>
    <t>Batteries</t>
  </si>
  <si>
    <t>Water Bottle</t>
  </si>
  <si>
    <t>Breakfast at Jeannine's</t>
  </si>
  <si>
    <t>I-94 application + print</t>
  </si>
  <si>
    <t>Document Printing</t>
  </si>
  <si>
    <t>Chicken Breast</t>
  </si>
  <si>
    <t>Laundry</t>
  </si>
  <si>
    <t>Burrito + Guava Juice</t>
  </si>
  <si>
    <t>Golf (9 holes)</t>
  </si>
  <si>
    <t>Pizza + Cola</t>
  </si>
  <si>
    <t>Oyster Sauce</t>
  </si>
  <si>
    <t>Spicy Sauce</t>
  </si>
  <si>
    <t>Soy Sauce</t>
  </si>
  <si>
    <t>Sesame Oil</t>
  </si>
  <si>
    <t>Zzapa Getti</t>
  </si>
  <si>
    <t>EAA</t>
  </si>
  <si>
    <t>Bulldak Noodles</t>
  </si>
  <si>
    <t>Notebook</t>
  </si>
  <si>
    <t>Sriracha Sauce</t>
  </si>
  <si>
    <t>Mayonnaise</t>
  </si>
  <si>
    <t>Nasal Salt</t>
  </si>
  <si>
    <t>Snacks</t>
  </si>
  <si>
    <t>Meat &amp; Fries</t>
  </si>
  <si>
    <t>Simi Valley Round Trip Train</t>
  </si>
  <si>
    <t>Beer</t>
  </si>
  <si>
    <t>Chicken Burger</t>
  </si>
  <si>
    <t>Eggs</t>
  </si>
  <si>
    <t>Ruiz Family Bakery</t>
  </si>
  <si>
    <t>Milkshake</t>
  </si>
  <si>
    <t>Train Ticket (Took Wrong Train)</t>
  </si>
  <si>
    <t>Chop Chicken</t>
  </si>
  <si>
    <t>Monster Drink</t>
  </si>
  <si>
    <t>Golf</t>
  </si>
  <si>
    <t>Doctor Pepper</t>
  </si>
  <si>
    <t>School Supplies</t>
  </si>
  <si>
    <t>DTL and Coffee</t>
  </si>
  <si>
    <t>Ice Cream + Ceviche</t>
  </si>
  <si>
    <t>McDonalds</t>
  </si>
  <si>
    <t>Chicken Breast + Banana + Oatmeal</t>
  </si>
  <si>
    <t>Green Onion + Garlic</t>
  </si>
  <si>
    <t>Rice</t>
  </si>
  <si>
    <t>Combo Tacos</t>
  </si>
  <si>
    <t>Jack and Downtown</t>
  </si>
  <si>
    <t>Soccer Shoes</t>
  </si>
  <si>
    <t>Burrito</t>
  </si>
  <si>
    <t>Omega 3</t>
  </si>
  <si>
    <t>Cheese Buldak</t>
  </si>
  <si>
    <t>Cereal</t>
  </si>
  <si>
    <t>Socks</t>
  </si>
  <si>
    <t>Mouse</t>
  </si>
  <si>
    <t>Other</t>
  </si>
  <si>
    <t>Cheese</t>
  </si>
  <si>
    <t>1끼당 식비 (일당 2.5끼)</t>
  </si>
  <si>
    <t>Dining:요리 비율</t>
  </si>
  <si>
    <t>McDonald's</t>
  </si>
  <si>
    <t>Milk</t>
  </si>
  <si>
    <t>Chipotle</t>
  </si>
  <si>
    <t>Donut</t>
  </si>
  <si>
    <t>California Burrito</t>
  </si>
  <si>
    <t>Coffee</t>
  </si>
  <si>
    <t>Document-related</t>
  </si>
  <si>
    <t>Maintenance Fee</t>
  </si>
  <si>
    <t>Driver's License Retake</t>
  </si>
  <si>
    <t>Whiskey + Wine</t>
  </si>
  <si>
    <t>Wingstop</t>
  </si>
  <si>
    <t>Red Bull</t>
  </si>
  <si>
    <t>Haircut</t>
  </si>
  <si>
    <t>Panda Express</t>
  </si>
  <si>
    <t>Taxi to Barbershop</t>
  </si>
  <si>
    <t>Eggs, Snacks, Bacon</t>
  </si>
  <si>
    <t>Dining with Friends</t>
  </si>
  <si>
    <t>6-Seater Bike with Friends</t>
  </si>
  <si>
    <t>Melatonin</t>
  </si>
  <si>
    <t>Caffeine Drink</t>
  </si>
  <si>
    <t>Hamburger</t>
  </si>
  <si>
    <t>Tacos</t>
  </si>
  <si>
    <t>Chicken Breast, Eggs</t>
  </si>
  <si>
    <t>Downtown with Zack</t>
  </si>
  <si>
    <t>Energy Drink</t>
  </si>
  <si>
    <t>Pizza + Donut</t>
  </si>
  <si>
    <t>Book</t>
  </si>
  <si>
    <t>Timer</t>
  </si>
  <si>
    <t>Ice Cream</t>
  </si>
  <si>
    <t>Zocalo's</t>
  </si>
  <si>
    <t>Delivery App Subscription</t>
  </si>
  <si>
    <t>Pizza + Beverage</t>
  </si>
  <si>
    <t>Dinner with Francisco</t>
  </si>
  <si>
    <t>Super Cucas</t>
  </si>
  <si>
    <t>Others</t>
  </si>
  <si>
    <t>Test Paper</t>
  </si>
  <si>
    <t>Subway</t>
  </si>
  <si>
    <t>Toronto Flight</t>
  </si>
  <si>
    <t>TorontoAccommodation</t>
  </si>
  <si>
    <t>Cost Per Meal</t>
  </si>
  <si>
    <t>Dining:Cooking Ratio</t>
  </si>
  <si>
    <t>Donut + Coffee (Kin's)</t>
  </si>
  <si>
    <t>Paella</t>
  </si>
  <si>
    <t>Breakfast burrito</t>
  </si>
  <si>
    <t>DMV</t>
  </si>
  <si>
    <t>Train Ticket</t>
  </si>
  <si>
    <t>Photo Shoot</t>
  </si>
  <si>
    <t>Taxi</t>
  </si>
  <si>
    <t>Restaurant with Friends</t>
  </si>
  <si>
    <t>Pizza</t>
  </si>
  <si>
    <t>Friend's Parking Fee</t>
  </si>
  <si>
    <t>Movie</t>
  </si>
  <si>
    <t>Airbus Reservation</t>
  </si>
  <si>
    <t>Jim Coffee chat</t>
  </si>
  <si>
    <t>Pizza Pub</t>
  </si>
  <si>
    <t>Monster</t>
  </si>
  <si>
    <t>Class Supplies</t>
  </si>
  <si>
    <t>Class Supplies (RPI)</t>
  </si>
  <si>
    <t>Clothes</t>
  </si>
  <si>
    <t>Creatine</t>
  </si>
  <si>
    <t>Domino's Pizza</t>
  </si>
  <si>
    <t>Antacid</t>
  </si>
  <si>
    <t>Vivid Sauce Chicken</t>
  </si>
  <si>
    <t>French Fries</t>
  </si>
  <si>
    <t>Airport Snacks</t>
  </si>
  <si>
    <t>Toronto Train</t>
  </si>
  <si>
    <t>Tim Hortons</t>
  </si>
  <si>
    <t>Uber</t>
  </si>
  <si>
    <t>Chicken Sandwich</t>
  </si>
  <si>
    <t>Daily Total</t>
  </si>
  <si>
    <t>Food Ingredients</t>
  </si>
  <si>
    <t>Bedding, Detergent, Body Wash</t>
  </si>
  <si>
    <t>생필품</t>
  </si>
  <si>
    <t>Spicy Chicken</t>
  </si>
  <si>
    <t>식재료</t>
  </si>
  <si>
    <t>Marion Bedding + Lego</t>
  </si>
  <si>
    <t>사치품</t>
  </si>
  <si>
    <t>Ratio Adjustment (11 days total)</t>
  </si>
  <si>
    <t>보조제</t>
  </si>
  <si>
    <t>Wireless Charger + Body Lotion</t>
  </si>
  <si>
    <t>Rice Noodles</t>
  </si>
  <si>
    <t>DoorDash Membership</t>
  </si>
  <si>
    <t>교통비</t>
  </si>
  <si>
    <t>Crush Cake (Breakfast)</t>
  </si>
  <si>
    <t>Bulgogi Ingredients</t>
  </si>
  <si>
    <t>Yoshinoya</t>
  </si>
  <si>
    <t>Wine</t>
  </si>
  <si>
    <t>Bubble Tea</t>
  </si>
  <si>
    <t>Phone Bill</t>
  </si>
  <si>
    <t>Soccer Team Registration</t>
  </si>
  <si>
    <t>DeepSeek API Charge</t>
  </si>
  <si>
    <t>자기개발비</t>
  </si>
  <si>
    <t>With Zack Dining</t>
  </si>
  <si>
    <t>Previous Month Comparison</t>
  </si>
  <si>
    <t>Sandwich</t>
  </si>
  <si>
    <t>Current Month Average</t>
  </si>
  <si>
    <t>Cumulative Comparison</t>
  </si>
  <si>
    <t>Marion Gift</t>
  </si>
  <si>
    <t>Thai Food</t>
  </si>
  <si>
    <t>식비</t>
  </si>
  <si>
    <t>1일당 식비</t>
  </si>
  <si>
    <t>Super Mex (Mexican Food)</t>
  </si>
  <si>
    <t>Booster</t>
  </si>
  <si>
    <t>전월 비교</t>
  </si>
  <si>
    <t>Grocery Shopping (Costco)</t>
  </si>
  <si>
    <t>현재까지 월 평균</t>
  </si>
  <si>
    <t>Pasta Noodles</t>
  </si>
  <si>
    <t>누적 비교</t>
  </si>
  <si>
    <t>Red Chili Paste</t>
  </si>
  <si>
    <t>목표 1일당 식비</t>
  </si>
  <si>
    <t>목표 1끼당 식비 (일당 2.5끼)</t>
  </si>
  <si>
    <t>목표 Dining/요리 비율</t>
  </si>
  <si>
    <t>Vegetables</t>
  </si>
  <si>
    <t>≤1</t>
  </si>
  <si>
    <t>In-N-Out</t>
  </si>
  <si>
    <t>Scallions</t>
  </si>
  <si>
    <t>현재 은행 잔고</t>
  </si>
  <si>
    <t>...more months</t>
  </si>
  <si>
    <t>exact date i would run out of cash</t>
  </si>
  <si>
    <t>Boathouse</t>
  </si>
  <si>
    <t>...more days</t>
  </si>
  <si>
    <t>Whiskey</t>
  </si>
  <si>
    <t>Friend's Parking Payment</t>
  </si>
  <si>
    <t>New Camera Lens payment</t>
  </si>
  <si>
    <t>Nika Ramen</t>
  </si>
  <si>
    <t>Charger and Sealer</t>
  </si>
  <si>
    <t>Subway Sandwich</t>
  </si>
  <si>
    <t>Breakfast burritos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</si>
</sst>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"/>
    <numFmt numFmtId="165" formatCode="&quot;$&quot;#,##0.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0" fontId="1" numFmtId="0" xfId="0" applyAlignment="1" applyFont="1">
      <alignment readingOrder="0" shrinkToFit="0" wrapText="1"/>
    </xf>
    <xf borderId="0" fillId="0" fontId="1" numFmtId="10" xfId="0" applyFont="1" applyNumberFormat="1"/>
    <xf borderId="0" fillId="0" fontId="1" numFmtId="4" xfId="0" applyFont="1" applyNumberFormat="1"/>
    <xf borderId="0" fillId="0" fontId="1" numFmtId="10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165" xfId="0" applyFont="1" applyNumberFormat="1"/>
    <xf borderId="0" fillId="2" fontId="1" numFmtId="10" xfId="0" applyFont="1" applyNumberFormat="1"/>
    <xf borderId="0" fillId="2" fontId="1" numFmtId="0" xfId="0" applyFont="1"/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Sheet1!$H$1:$M$1</c:f>
            </c:strRef>
          </c:cat>
          <c:val>
            <c:numRef>
              <c:f>Sheet1!$H$2:$M$2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Sheet2!$I$1:$O$1</c:f>
            </c:strRef>
          </c:cat>
          <c:val>
            <c:numRef>
              <c:f>Sheet2!$I$2:$O$2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Sheet3!$I$1:$N$1</c:f>
            </c:strRef>
          </c:cat>
          <c:val>
            <c:numRef>
              <c:f>Sheet3!$I$2:$N$2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733425</xdr:colOff>
      <xdr:row>9</xdr:row>
      <xdr:rowOff>66675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552450</xdr:colOff>
      <xdr:row>8</xdr:row>
      <xdr:rowOff>180975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133350</xdr:colOff>
      <xdr:row>9</xdr:row>
      <xdr:rowOff>76200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933450</xdr:colOff>
      <xdr:row>20</xdr:row>
      <xdr:rowOff>200025</xdr:rowOff>
    </xdr:from>
    <xdr:ext cx="3952875" cy="3286125"/>
    <xdr:sp>
      <xdr:nvSpPr>
        <xdr:cNvPr id="3" name="Shape 3"/>
        <xdr:cNvSpPr txBox="1"/>
      </xdr:nvSpPr>
      <xdr:spPr>
        <a:xfrm>
          <a:off x="1373250" y="1502625"/>
          <a:ext cx="2997300" cy="21957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3800"/>
            <a:t>목표</a:t>
          </a:r>
          <a:endParaRPr b="1" sz="38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1일당 식비 </a:t>
          </a:r>
          <a:r>
            <a:rPr b="1" lang="en-US" sz="1200">
              <a:latin typeface="Roboto"/>
              <a:ea typeface="Roboto"/>
              <a:cs typeface="Roboto"/>
              <a:sym typeface="Roboto"/>
            </a:rPr>
            <a:t>15불 미만 (=총 465불)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1끼당 식비 6.5불 미만 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사치품 월 300불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교통비 월 50불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보조제 (커피, 몬스터, EAA)월 80불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지키면!!! 499불에 오클리 메타 살 수 있다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200">
            <a:latin typeface="Roboto"/>
            <a:ea typeface="Roboto"/>
            <a:cs typeface="Roboto"/>
            <a:sym typeface="Roboto"/>
          </a:endParaRPr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152400</xdr:colOff>
      <xdr:row>18</xdr:row>
      <xdr:rowOff>152400</xdr:rowOff>
    </xdr:from>
    <xdr:ext cx="5743575" cy="419100"/>
    <xdr:sp>
      <xdr:nvSpPr>
        <xdr:cNvPr id="4" name="Shape 4"/>
        <xdr:cNvSpPr txBox="1"/>
      </xdr:nvSpPr>
      <xdr:spPr>
        <a:xfrm>
          <a:off x="1888075" y="1817025"/>
          <a:ext cx="5735400" cy="400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152400</xdr:colOff>
      <xdr:row>18</xdr:row>
      <xdr:rowOff>152400</xdr:rowOff>
    </xdr:from>
    <xdr:ext cx="3048000" cy="2200275"/>
    <xdr:sp>
      <xdr:nvSpPr>
        <xdr:cNvPr id="5" name="Shape 5"/>
        <xdr:cNvSpPr txBox="1"/>
      </xdr:nvSpPr>
      <xdr:spPr>
        <a:xfrm>
          <a:off x="913600" y="974500"/>
          <a:ext cx="3024900" cy="21825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3800"/>
            <a:t>목표</a:t>
          </a:r>
          <a:endParaRPr b="1" sz="3800"/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/>
            <a:t>1일당 식비 </a:t>
          </a:r>
          <a:r>
            <a:rPr b="1" lang="en-US" sz="1200">
              <a:latin typeface="Roboto"/>
              <a:ea typeface="Roboto"/>
              <a:cs typeface="Roboto"/>
              <a:sym typeface="Roboto"/>
            </a:rPr>
            <a:t>15불 미만 (=총 465불)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1끼당 식비 6.5불 미만 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사치품 월 300불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교통비 월 50불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보조제 (커피, 몬스터, EAA)월 80불 미만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200">
              <a:latin typeface="Roboto"/>
              <a:ea typeface="Roboto"/>
              <a:cs typeface="Roboto"/>
              <a:sym typeface="Roboto"/>
            </a:rPr>
            <a:t>지키면!!! 499불에 오클리 메타 살 수 있다</a:t>
          </a:r>
          <a:endParaRPr b="1" sz="1200">
            <a:latin typeface="Roboto"/>
            <a:ea typeface="Roboto"/>
            <a:cs typeface="Roboto"/>
            <a:sym typeface="Roboto"/>
          </a:endParaRPr>
        </a:p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>
      <c r="A2" s="2">
        <v>45908.0</v>
      </c>
      <c r="B2" s="1">
        <v>82.97</v>
      </c>
      <c r="C2" s="1" t="s">
        <v>13</v>
      </c>
      <c r="D2" s="1" t="s">
        <v>6</v>
      </c>
      <c r="E2" s="3">
        <f>B2</f>
        <v>82.97</v>
      </c>
      <c r="G2" s="4">
        <f>SUM(B:B)</f>
        <v>1788.08</v>
      </c>
      <c r="H2" s="4">
        <f>sumif(D:D, "Essentials", B:B)</f>
        <v>674.26</v>
      </c>
      <c r="I2" s="4">
        <f>sumif(D:D, "Food", B:B)</f>
        <v>316.8</v>
      </c>
      <c r="J2" s="4">
        <f>sumif(D:D,"Supplements",B:B)</f>
        <v>53.48</v>
      </c>
      <c r="K2" s="4">
        <f>sumif(D:D,"Transportation",B:B)</f>
        <v>91.96</v>
      </c>
      <c r="L2" s="4">
        <f>sumif(D:D,"Dining",B:B)</f>
        <v>265.14</v>
      </c>
      <c r="M2" s="4">
        <f>sumif(D:D,"Luxury",B:B)</f>
        <v>363.75</v>
      </c>
      <c r="N2" s="4">
        <f>G2-sum(H2:M2)</f>
        <v>22.69</v>
      </c>
    </row>
    <row r="3">
      <c r="B3" s="1">
        <v>38.35</v>
      </c>
      <c r="C3" s="1" t="s">
        <v>14</v>
      </c>
      <c r="D3" s="1" t="s">
        <v>15</v>
      </c>
      <c r="E3" s="3">
        <f t="shared" ref="E3:E67" si="1">E2+B3</f>
        <v>121.32</v>
      </c>
    </row>
    <row r="4">
      <c r="B4" s="1">
        <v>10.97</v>
      </c>
      <c r="C4" s="1" t="s">
        <v>16</v>
      </c>
      <c r="D4" s="1" t="s">
        <v>6</v>
      </c>
      <c r="E4" s="3">
        <f t="shared" si="1"/>
        <v>132.29</v>
      </c>
    </row>
    <row r="5">
      <c r="B5" s="1">
        <v>18.0</v>
      </c>
      <c r="C5" s="1" t="s">
        <v>17</v>
      </c>
      <c r="D5" s="1" t="s">
        <v>8</v>
      </c>
      <c r="E5" s="3">
        <f t="shared" si="1"/>
        <v>150.29</v>
      </c>
      <c r="G5" s="1" t="s">
        <v>18</v>
      </c>
      <c r="I5" s="5" t="s">
        <v>19</v>
      </c>
      <c r="J5" s="5" t="s">
        <v>20</v>
      </c>
    </row>
    <row r="6">
      <c r="A6" s="2">
        <v>45910.0</v>
      </c>
      <c r="B6" s="1">
        <v>6.9</v>
      </c>
      <c r="C6" s="1" t="s">
        <v>21</v>
      </c>
      <c r="D6" s="1" t="s">
        <v>6</v>
      </c>
      <c r="E6" s="3">
        <f t="shared" si="1"/>
        <v>157.19</v>
      </c>
      <c r="G6" s="4">
        <f>I2+J2+L2</f>
        <v>635.42</v>
      </c>
      <c r="I6" s="4">
        <f>G6/31</f>
        <v>20.49741935</v>
      </c>
      <c r="J6" s="4">
        <f>I6/2.5</f>
        <v>8.198967742</v>
      </c>
    </row>
    <row r="7">
      <c r="B7" s="1">
        <v>15.99</v>
      </c>
      <c r="C7" s="1" t="s">
        <v>22</v>
      </c>
      <c r="D7" s="1" t="s">
        <v>6</v>
      </c>
      <c r="E7" s="3">
        <f t="shared" si="1"/>
        <v>173.18</v>
      </c>
    </row>
    <row r="8">
      <c r="B8" s="1">
        <v>4.96</v>
      </c>
      <c r="C8" s="1" t="s">
        <v>23</v>
      </c>
      <c r="D8" s="1" t="s">
        <v>6</v>
      </c>
      <c r="E8" s="3">
        <f t="shared" si="1"/>
        <v>178.14</v>
      </c>
    </row>
    <row r="9">
      <c r="B9" s="1">
        <v>11.94</v>
      </c>
      <c r="C9" s="1" t="s">
        <v>24</v>
      </c>
      <c r="D9" s="1" t="s">
        <v>6</v>
      </c>
      <c r="E9" s="3">
        <f t="shared" si="1"/>
        <v>190.08</v>
      </c>
    </row>
    <row r="10">
      <c r="B10" s="1">
        <v>18.79</v>
      </c>
      <c r="C10" s="1" t="s">
        <v>25</v>
      </c>
      <c r="D10" s="1" t="s">
        <v>6</v>
      </c>
      <c r="E10" s="3">
        <f t="shared" si="1"/>
        <v>208.87</v>
      </c>
    </row>
    <row r="11">
      <c r="B11" s="1">
        <v>12.15</v>
      </c>
      <c r="C11" s="1" t="s">
        <v>26</v>
      </c>
      <c r="D11" s="1" t="s">
        <v>6</v>
      </c>
      <c r="E11" s="3">
        <f t="shared" si="1"/>
        <v>221.02</v>
      </c>
    </row>
    <row r="12">
      <c r="B12" s="1">
        <v>15.99</v>
      </c>
      <c r="C12" s="1" t="s">
        <v>27</v>
      </c>
      <c r="D12" s="1" t="s">
        <v>9</v>
      </c>
      <c r="E12" s="3">
        <f t="shared" si="1"/>
        <v>237.01</v>
      </c>
    </row>
    <row r="13">
      <c r="B13" s="1">
        <v>14.99</v>
      </c>
      <c r="C13" s="1" t="s">
        <v>28</v>
      </c>
      <c r="D13" s="1" t="s">
        <v>29</v>
      </c>
      <c r="E13" s="3">
        <f t="shared" si="1"/>
        <v>252</v>
      </c>
    </row>
    <row r="14">
      <c r="A14" s="2">
        <v>45911.0</v>
      </c>
      <c r="B14" s="1">
        <v>8.97</v>
      </c>
      <c r="C14" s="1" t="s">
        <v>30</v>
      </c>
      <c r="D14" s="1" t="s">
        <v>9</v>
      </c>
      <c r="E14" s="3">
        <f t="shared" si="1"/>
        <v>260.97</v>
      </c>
    </row>
    <row r="15">
      <c r="B15" s="1">
        <v>11.99</v>
      </c>
      <c r="C15" s="1" t="s">
        <v>31</v>
      </c>
      <c r="D15" s="1" t="s">
        <v>6</v>
      </c>
      <c r="E15" s="3">
        <f t="shared" si="1"/>
        <v>272.96</v>
      </c>
    </row>
    <row r="16">
      <c r="B16" s="1">
        <v>29.99</v>
      </c>
      <c r="C16" s="1" t="s">
        <v>32</v>
      </c>
      <c r="D16" s="1" t="s">
        <v>6</v>
      </c>
      <c r="E16" s="3">
        <f t="shared" si="1"/>
        <v>302.95</v>
      </c>
    </row>
    <row r="17">
      <c r="B17" s="1">
        <v>35.62</v>
      </c>
      <c r="C17" s="1" t="s">
        <v>33</v>
      </c>
      <c r="D17" s="1" t="s">
        <v>10</v>
      </c>
      <c r="E17" s="3">
        <f t="shared" si="1"/>
        <v>338.57</v>
      </c>
    </row>
    <row r="18">
      <c r="B18" s="1">
        <v>7.7</v>
      </c>
      <c r="C18" s="1" t="s">
        <v>34</v>
      </c>
      <c r="D18" s="1" t="s">
        <v>35</v>
      </c>
      <c r="E18" s="3">
        <f t="shared" si="1"/>
        <v>346.27</v>
      </c>
    </row>
    <row r="19">
      <c r="B19" s="1">
        <v>16.0</v>
      </c>
      <c r="C19" s="1" t="s">
        <v>36</v>
      </c>
      <c r="D19" s="1" t="s">
        <v>15</v>
      </c>
      <c r="E19" s="3">
        <f t="shared" si="1"/>
        <v>362.27</v>
      </c>
    </row>
    <row r="20">
      <c r="A20" s="2">
        <v>45912.0</v>
      </c>
      <c r="B20" s="1">
        <v>10.5</v>
      </c>
      <c r="C20" s="1" t="s">
        <v>37</v>
      </c>
      <c r="D20" s="1" t="s">
        <v>6</v>
      </c>
      <c r="E20" s="3">
        <f t="shared" si="1"/>
        <v>372.77</v>
      </c>
    </row>
    <row r="21">
      <c r="B21" s="1">
        <v>14.53</v>
      </c>
      <c r="C21" s="1" t="s">
        <v>38</v>
      </c>
      <c r="D21" s="1" t="s">
        <v>10</v>
      </c>
      <c r="E21" s="3">
        <f t="shared" si="1"/>
        <v>387.3</v>
      </c>
    </row>
    <row r="22">
      <c r="A22" s="2">
        <v>45914.0</v>
      </c>
      <c r="B22" s="1">
        <v>22.0</v>
      </c>
      <c r="C22" s="1" t="s">
        <v>39</v>
      </c>
      <c r="D22" s="1" t="s">
        <v>11</v>
      </c>
      <c r="E22" s="3">
        <f t="shared" si="1"/>
        <v>409.3</v>
      </c>
    </row>
    <row r="23">
      <c r="B23" s="1">
        <v>10.4</v>
      </c>
      <c r="C23" s="1" t="s">
        <v>40</v>
      </c>
      <c r="D23" s="1" t="s">
        <v>10</v>
      </c>
      <c r="E23" s="3">
        <f t="shared" si="1"/>
        <v>419.7</v>
      </c>
    </row>
    <row r="24">
      <c r="A24" s="2">
        <v>45916.0</v>
      </c>
      <c r="B24" s="1">
        <v>14.24</v>
      </c>
      <c r="C24" s="1" t="s">
        <v>41</v>
      </c>
      <c r="D24" s="1" t="s">
        <v>15</v>
      </c>
      <c r="E24" s="3">
        <f t="shared" si="1"/>
        <v>433.94</v>
      </c>
    </row>
    <row r="25">
      <c r="B25" s="1">
        <v>14.24</v>
      </c>
      <c r="C25" s="1" t="s">
        <v>42</v>
      </c>
      <c r="D25" s="1" t="s">
        <v>15</v>
      </c>
      <c r="E25" s="3">
        <f t="shared" si="1"/>
        <v>448.18</v>
      </c>
    </row>
    <row r="26">
      <c r="B26" s="1">
        <v>11.69</v>
      </c>
      <c r="C26" s="1" t="s">
        <v>43</v>
      </c>
      <c r="D26" s="1" t="s">
        <v>15</v>
      </c>
      <c r="E26" s="3">
        <f t="shared" si="1"/>
        <v>459.87</v>
      </c>
    </row>
    <row r="27">
      <c r="B27" s="1">
        <v>32.49</v>
      </c>
      <c r="C27" s="1" t="s">
        <v>44</v>
      </c>
      <c r="D27" s="1" t="s">
        <v>15</v>
      </c>
      <c r="E27" s="3">
        <f t="shared" si="1"/>
        <v>492.36</v>
      </c>
    </row>
    <row r="28">
      <c r="B28" s="1">
        <v>31.8</v>
      </c>
      <c r="C28" s="1" t="s">
        <v>45</v>
      </c>
      <c r="D28" s="1" t="s">
        <v>15</v>
      </c>
      <c r="E28" s="3">
        <f t="shared" si="1"/>
        <v>524.16</v>
      </c>
    </row>
    <row r="29">
      <c r="B29" s="1">
        <v>18.99</v>
      </c>
      <c r="C29" s="1" t="s">
        <v>46</v>
      </c>
      <c r="D29" s="1" t="s">
        <v>8</v>
      </c>
      <c r="E29" s="3">
        <f t="shared" si="1"/>
        <v>543.15</v>
      </c>
    </row>
    <row r="30">
      <c r="B30" s="1">
        <v>8.25</v>
      </c>
      <c r="C30" s="1" t="s">
        <v>47</v>
      </c>
      <c r="D30" s="1" t="s">
        <v>15</v>
      </c>
      <c r="E30" s="3">
        <f t="shared" si="1"/>
        <v>551.4</v>
      </c>
    </row>
    <row r="31">
      <c r="B31" s="1">
        <v>7.49</v>
      </c>
      <c r="C31" s="1" t="s">
        <v>48</v>
      </c>
      <c r="D31" s="1" t="s">
        <v>6</v>
      </c>
      <c r="E31" s="3">
        <f t="shared" si="1"/>
        <v>558.89</v>
      </c>
    </row>
    <row r="32">
      <c r="B32" s="1">
        <v>13.49</v>
      </c>
      <c r="C32" s="1" t="s">
        <v>49</v>
      </c>
      <c r="D32" s="1" t="s">
        <v>15</v>
      </c>
      <c r="E32" s="3">
        <f t="shared" si="1"/>
        <v>572.38</v>
      </c>
    </row>
    <row r="33">
      <c r="B33" s="1">
        <v>4.98</v>
      </c>
      <c r="C33" s="1" t="s">
        <v>50</v>
      </c>
      <c r="D33" s="1" t="s">
        <v>15</v>
      </c>
      <c r="E33" s="3">
        <f t="shared" si="1"/>
        <v>577.36</v>
      </c>
    </row>
    <row r="34">
      <c r="B34" s="1">
        <v>6.29</v>
      </c>
      <c r="C34" s="1" t="s">
        <v>51</v>
      </c>
      <c r="D34" s="1" t="s">
        <v>6</v>
      </c>
      <c r="E34" s="3">
        <f t="shared" si="1"/>
        <v>583.65</v>
      </c>
    </row>
    <row r="35">
      <c r="B35" s="1">
        <v>12.0</v>
      </c>
      <c r="C35" s="1" t="s">
        <v>52</v>
      </c>
      <c r="D35" s="1" t="s">
        <v>10</v>
      </c>
      <c r="E35" s="3">
        <f t="shared" si="1"/>
        <v>595.65</v>
      </c>
    </row>
    <row r="36">
      <c r="A36" s="2"/>
      <c r="B36" s="1">
        <v>12.38</v>
      </c>
      <c r="C36" s="1" t="s">
        <v>53</v>
      </c>
      <c r="D36" s="1" t="s">
        <v>10</v>
      </c>
      <c r="E36" s="3">
        <f t="shared" si="1"/>
        <v>608.03</v>
      </c>
    </row>
    <row r="37">
      <c r="A37" s="2">
        <v>45917.0</v>
      </c>
      <c r="B37" s="1">
        <v>40.0</v>
      </c>
      <c r="C37" s="1" t="s">
        <v>54</v>
      </c>
      <c r="D37" s="1" t="s">
        <v>9</v>
      </c>
      <c r="E37" s="3">
        <f t="shared" si="1"/>
        <v>648.03</v>
      </c>
    </row>
    <row r="38">
      <c r="B38" s="1">
        <v>19.0</v>
      </c>
      <c r="C38" s="1" t="s">
        <v>55</v>
      </c>
      <c r="D38" s="1" t="s">
        <v>10</v>
      </c>
      <c r="E38" s="3">
        <f t="shared" si="1"/>
        <v>667.03</v>
      </c>
    </row>
    <row r="39">
      <c r="B39" s="1">
        <v>8.43</v>
      </c>
      <c r="C39" s="1" t="s">
        <v>56</v>
      </c>
      <c r="D39" s="1" t="s">
        <v>10</v>
      </c>
      <c r="E39" s="3">
        <f t="shared" si="1"/>
        <v>675.46</v>
      </c>
    </row>
    <row r="40">
      <c r="A40" s="2">
        <v>45918.0</v>
      </c>
      <c r="B40" s="1">
        <v>10.99</v>
      </c>
      <c r="C40" s="1" t="s">
        <v>57</v>
      </c>
      <c r="D40" s="1" t="s">
        <v>15</v>
      </c>
      <c r="E40" s="3">
        <f t="shared" si="1"/>
        <v>686.45</v>
      </c>
    </row>
    <row r="41">
      <c r="B41" s="1">
        <v>5.0</v>
      </c>
      <c r="C41" s="1" t="s">
        <v>37</v>
      </c>
      <c r="D41" s="1" t="s">
        <v>6</v>
      </c>
      <c r="E41" s="3">
        <f t="shared" si="1"/>
        <v>691.45</v>
      </c>
    </row>
    <row r="42">
      <c r="A42" s="2">
        <v>45919.0</v>
      </c>
      <c r="B42" s="1">
        <v>51.96</v>
      </c>
      <c r="C42" s="1" t="s">
        <v>58</v>
      </c>
      <c r="D42" s="1" t="s">
        <v>10</v>
      </c>
      <c r="E42" s="3">
        <f t="shared" si="1"/>
        <v>743.41</v>
      </c>
    </row>
    <row r="43">
      <c r="A43" s="2">
        <v>45920.0</v>
      </c>
      <c r="B43" s="1">
        <v>6.54</v>
      </c>
      <c r="C43" s="1" t="s">
        <v>59</v>
      </c>
      <c r="D43" s="1" t="s">
        <v>10</v>
      </c>
      <c r="E43" s="3">
        <f t="shared" si="1"/>
        <v>749.95</v>
      </c>
    </row>
    <row r="44">
      <c r="B44" s="1">
        <v>27.0</v>
      </c>
      <c r="C44" s="1" t="s">
        <v>60</v>
      </c>
      <c r="D44" s="1" t="s">
        <v>9</v>
      </c>
      <c r="E44" s="3">
        <f t="shared" si="1"/>
        <v>776.95</v>
      </c>
    </row>
    <row r="45">
      <c r="A45" s="2">
        <v>45921.0</v>
      </c>
      <c r="B45" s="1">
        <v>5.45</v>
      </c>
      <c r="C45" s="1" t="s">
        <v>61</v>
      </c>
      <c r="D45" s="1" t="s">
        <v>10</v>
      </c>
      <c r="E45" s="3">
        <f t="shared" si="1"/>
        <v>782.4</v>
      </c>
    </row>
    <row r="46">
      <c r="B46" s="1">
        <v>6.09</v>
      </c>
      <c r="C46" s="1" t="s">
        <v>62</v>
      </c>
      <c r="D46" s="1" t="s">
        <v>10</v>
      </c>
      <c r="E46" s="3">
        <f t="shared" si="1"/>
        <v>788.49</v>
      </c>
    </row>
    <row r="47">
      <c r="A47" s="2">
        <v>45922.0</v>
      </c>
      <c r="B47" s="1">
        <v>22.0</v>
      </c>
      <c r="C47" s="1" t="s">
        <v>63</v>
      </c>
      <c r="D47" s="1" t="s">
        <v>11</v>
      </c>
      <c r="E47" s="3">
        <f t="shared" si="1"/>
        <v>810.49</v>
      </c>
    </row>
    <row r="48">
      <c r="B48" s="1">
        <v>3.0</v>
      </c>
      <c r="C48" s="1" t="s">
        <v>64</v>
      </c>
      <c r="D48" s="1" t="s">
        <v>10</v>
      </c>
      <c r="E48" s="3">
        <f t="shared" si="1"/>
        <v>813.49</v>
      </c>
    </row>
    <row r="49">
      <c r="B49" s="1">
        <v>368.04</v>
      </c>
      <c r="C49" s="1" t="s">
        <v>65</v>
      </c>
      <c r="D49" s="1" t="s">
        <v>6</v>
      </c>
      <c r="E49" s="3">
        <f t="shared" si="1"/>
        <v>1181.53</v>
      </c>
    </row>
    <row r="50">
      <c r="A50" s="2">
        <v>45923.0</v>
      </c>
      <c r="B50" s="3">
        <f>6.83+7.37</f>
        <v>14.2</v>
      </c>
      <c r="C50" s="1" t="s">
        <v>66</v>
      </c>
      <c r="D50" s="1" t="s">
        <v>10</v>
      </c>
      <c r="E50" s="3">
        <f t="shared" si="1"/>
        <v>1195.73</v>
      </c>
    </row>
    <row r="51">
      <c r="B51" s="1">
        <v>12.38</v>
      </c>
      <c r="C51" s="1" t="s">
        <v>53</v>
      </c>
      <c r="D51" s="1" t="s">
        <v>10</v>
      </c>
      <c r="E51" s="3">
        <f t="shared" si="1"/>
        <v>1208.11</v>
      </c>
    </row>
    <row r="52">
      <c r="A52" s="2">
        <v>45924.0</v>
      </c>
      <c r="B52" s="1">
        <v>20.95</v>
      </c>
      <c r="C52" s="1" t="s">
        <v>67</v>
      </c>
      <c r="D52" s="1" t="s">
        <v>10</v>
      </c>
      <c r="E52" s="3">
        <f t="shared" si="1"/>
        <v>1229.06</v>
      </c>
    </row>
    <row r="53">
      <c r="B53" s="1">
        <v>9.06</v>
      </c>
      <c r="C53" s="1" t="s">
        <v>68</v>
      </c>
      <c r="D53" s="1" t="s">
        <v>10</v>
      </c>
      <c r="E53" s="3">
        <f t="shared" si="1"/>
        <v>1238.12</v>
      </c>
    </row>
    <row r="54">
      <c r="B54" s="1">
        <v>48.07</v>
      </c>
      <c r="C54" s="1" t="s">
        <v>69</v>
      </c>
      <c r="D54" s="1" t="s">
        <v>15</v>
      </c>
      <c r="E54" s="3">
        <f t="shared" si="1"/>
        <v>1286.19</v>
      </c>
    </row>
    <row r="55">
      <c r="A55" s="2">
        <v>45925.0</v>
      </c>
      <c r="B55" s="1">
        <v>8.64</v>
      </c>
      <c r="C55" s="1" t="s">
        <v>70</v>
      </c>
      <c r="D55" s="1" t="s">
        <v>15</v>
      </c>
      <c r="E55" s="3">
        <f t="shared" si="1"/>
        <v>1294.83</v>
      </c>
    </row>
    <row r="56">
      <c r="A56" s="2">
        <v>45926.0</v>
      </c>
      <c r="B56" s="1">
        <v>5.0</v>
      </c>
      <c r="C56" s="1" t="s">
        <v>37</v>
      </c>
      <c r="D56" s="1" t="s">
        <v>6</v>
      </c>
      <c r="E56" s="3">
        <f t="shared" si="1"/>
        <v>1299.83</v>
      </c>
    </row>
    <row r="57">
      <c r="B57" s="1">
        <v>38.3</v>
      </c>
      <c r="C57" s="1" t="s">
        <v>71</v>
      </c>
      <c r="D57" s="1" t="s">
        <v>15</v>
      </c>
      <c r="E57" s="3">
        <f t="shared" si="1"/>
        <v>1338.13</v>
      </c>
    </row>
    <row r="58">
      <c r="B58" s="1">
        <v>9.15</v>
      </c>
      <c r="C58" s="1" t="s">
        <v>72</v>
      </c>
      <c r="D58" s="1" t="s">
        <v>10</v>
      </c>
      <c r="E58" s="3">
        <f t="shared" si="1"/>
        <v>1347.28</v>
      </c>
    </row>
    <row r="59">
      <c r="B59" s="1">
        <v>34.21</v>
      </c>
      <c r="C59" s="1" t="s">
        <v>73</v>
      </c>
      <c r="D59" s="1" t="s">
        <v>11</v>
      </c>
      <c r="E59" s="3">
        <f t="shared" si="1"/>
        <v>1381.49</v>
      </c>
    </row>
    <row r="60">
      <c r="A60" s="2">
        <v>45927.0</v>
      </c>
      <c r="B60" s="1">
        <v>285.54</v>
      </c>
      <c r="C60" s="1" t="s">
        <v>74</v>
      </c>
      <c r="D60" s="1" t="s">
        <v>11</v>
      </c>
      <c r="E60" s="3">
        <f t="shared" si="1"/>
        <v>1667.03</v>
      </c>
    </row>
    <row r="61">
      <c r="B61" s="1">
        <v>14.0</v>
      </c>
      <c r="C61" s="1" t="s">
        <v>75</v>
      </c>
      <c r="D61" s="1" t="s">
        <v>10</v>
      </c>
      <c r="E61" s="3">
        <f t="shared" si="1"/>
        <v>1681.03</v>
      </c>
    </row>
    <row r="62">
      <c r="B62" s="1">
        <v>16.49</v>
      </c>
      <c r="C62" s="1" t="s">
        <v>76</v>
      </c>
      <c r="D62" s="1" t="s">
        <v>8</v>
      </c>
      <c r="E62" s="3">
        <f t="shared" si="1"/>
        <v>1697.52</v>
      </c>
    </row>
    <row r="63">
      <c r="B63" s="1">
        <v>11.99</v>
      </c>
      <c r="C63" s="1" t="s">
        <v>77</v>
      </c>
      <c r="D63" s="1" t="s">
        <v>15</v>
      </c>
      <c r="E63" s="3">
        <f t="shared" si="1"/>
        <v>1709.51</v>
      </c>
    </row>
    <row r="64">
      <c r="A64" s="2">
        <v>45929.0</v>
      </c>
      <c r="B64" s="1">
        <v>13.28</v>
      </c>
      <c r="C64" s="1" t="s">
        <v>78</v>
      </c>
      <c r="D64" s="1" t="s">
        <v>15</v>
      </c>
      <c r="E64" s="3">
        <f t="shared" si="1"/>
        <v>1722.79</v>
      </c>
    </row>
    <row r="65">
      <c r="B65" s="1">
        <v>43.09</v>
      </c>
      <c r="C65" s="1" t="s">
        <v>13</v>
      </c>
      <c r="D65" s="1" t="s">
        <v>6</v>
      </c>
      <c r="E65" s="3">
        <f t="shared" si="1"/>
        <v>1765.88</v>
      </c>
    </row>
    <row r="66">
      <c r="B66" s="1">
        <v>14.55</v>
      </c>
      <c r="C66" s="1" t="s">
        <v>79</v>
      </c>
      <c r="D66" s="1" t="s">
        <v>6</v>
      </c>
      <c r="E66" s="3">
        <f t="shared" si="1"/>
        <v>1780.43</v>
      </c>
    </row>
    <row r="67">
      <c r="B67" s="1">
        <v>7.65</v>
      </c>
      <c r="C67" s="1" t="s">
        <v>80</v>
      </c>
      <c r="D67" s="1" t="s">
        <v>6</v>
      </c>
      <c r="E67" s="3">
        <f t="shared" si="1"/>
        <v>1788.08</v>
      </c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  <row r="1002">
      <c r="D1002" s="3"/>
    </row>
    <row r="1003">
      <c r="D1003" s="3"/>
    </row>
    <row r="1004">
      <c r="D1004" s="3"/>
    </row>
  </sheetData>
  <dataValidations>
    <dataValidation type="list" allowBlank="1" showErrorMessage="1" sqref="D1:D1004">
      <formula1>"생필품,식재료,보조제,교통비,구독료,문건 인출비,사치품,외식,자기개발비,Essentials,Food,Supplements,Dining,Luxury,Transportation"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81</v>
      </c>
    </row>
    <row r="2">
      <c r="A2" s="2">
        <v>45931.0</v>
      </c>
      <c r="B2" s="1">
        <v>9.94</v>
      </c>
      <c r="C2" s="1" t="s">
        <v>78</v>
      </c>
      <c r="D2" s="1" t="s">
        <v>6</v>
      </c>
      <c r="E2" s="3">
        <f>B2</f>
        <v>9.94</v>
      </c>
      <c r="H2" s="4">
        <f>SUM(B:B)</f>
        <v>1212.23</v>
      </c>
      <c r="I2" s="4">
        <f>sumif(D:D, "Essentials", B:B)</f>
        <v>114.69</v>
      </c>
      <c r="J2" s="4">
        <f>sumif(D:D, "Food", B:B)</f>
        <v>228.2</v>
      </c>
      <c r="K2" s="4">
        <f>sumif(D:D,"Supplements",B:B)</f>
        <v>74.95</v>
      </c>
      <c r="L2" s="4">
        <f>sumif(D:D,"Transportation",B:B)</f>
        <v>56.42</v>
      </c>
      <c r="M2" s="4">
        <f>sumif(D:D,"Dining",B:B)</f>
        <v>330.34</v>
      </c>
      <c r="N2" s="4">
        <f>sumif(D:D,"Luxury",B:B)</f>
        <v>382.63</v>
      </c>
      <c r="O2" s="4">
        <f>H2-sum(I2:N2)</f>
        <v>25</v>
      </c>
    </row>
    <row r="3">
      <c r="B3" s="1">
        <v>18.99</v>
      </c>
      <c r="C3" s="1" t="s">
        <v>46</v>
      </c>
      <c r="D3" s="1" t="s">
        <v>8</v>
      </c>
      <c r="E3" s="3">
        <f t="shared" ref="E3:E61" si="1">E2+B3</f>
        <v>28.93</v>
      </c>
      <c r="H3" s="6">
        <f>((H2-Sheet1!G2)/Sheet1!G2)</f>
        <v>-0.322049349</v>
      </c>
      <c r="I3" s="6">
        <f>((I2-Sheet1!H2)/Sheet1!H2)</f>
        <v>-0.8299024115</v>
      </c>
      <c r="J3" s="6">
        <f>((J2-Sheet1!I2)/Sheet1!I2)</f>
        <v>-0.2796717172</v>
      </c>
      <c r="K3" s="6">
        <f>((K2-Sheet1!J2)/Sheet1!J2)</f>
        <v>0.4014584892</v>
      </c>
      <c r="L3" s="6">
        <f>((L2-Sheet1!K2)/Sheet1!K2)</f>
        <v>-0.3864723793</v>
      </c>
      <c r="M3" s="6">
        <f>((M2-Sheet1!L2)/Sheet1!L2)</f>
        <v>0.2459078223</v>
      </c>
      <c r="N3" s="6">
        <f>((N2-Sheet1!M2)/Sheet1!M2)</f>
        <v>0.05190378007</v>
      </c>
      <c r="O3" s="6">
        <f>((O2-Sheet1!N2)/Sheet1!N2)</f>
        <v>0.1018069634</v>
      </c>
    </row>
    <row r="4">
      <c r="B4" s="1">
        <v>36.99</v>
      </c>
      <c r="C4" s="1" t="s">
        <v>82</v>
      </c>
      <c r="D4" s="1" t="s">
        <v>15</v>
      </c>
      <c r="E4" s="3">
        <f t="shared" si="1"/>
        <v>65.92</v>
      </c>
    </row>
    <row r="5">
      <c r="A5" s="2">
        <v>45932.0</v>
      </c>
      <c r="B5" s="1">
        <v>5.0</v>
      </c>
      <c r="C5" s="1" t="s">
        <v>37</v>
      </c>
      <c r="D5" s="1" t="s">
        <v>6</v>
      </c>
      <c r="E5" s="3">
        <f t="shared" si="1"/>
        <v>70.92</v>
      </c>
      <c r="H5" s="1" t="s">
        <v>18</v>
      </c>
      <c r="I5" s="1" t="s">
        <v>19</v>
      </c>
      <c r="J5" s="1" t="s">
        <v>20</v>
      </c>
      <c r="K5" s="1" t="s">
        <v>83</v>
      </c>
      <c r="M5" s="1" t="s">
        <v>84</v>
      </c>
    </row>
    <row r="6">
      <c r="A6" s="2"/>
      <c r="B6" s="1">
        <v>19.21</v>
      </c>
      <c r="C6" s="1" t="s">
        <v>85</v>
      </c>
      <c r="D6" s="1" t="s">
        <v>10</v>
      </c>
      <c r="E6" s="3">
        <f t="shared" si="1"/>
        <v>90.13</v>
      </c>
      <c r="H6" s="4">
        <f>SUM(J2,K2,M2)</f>
        <v>633.49</v>
      </c>
      <c r="I6" s="4">
        <f>H6/31</f>
        <v>20.43516129</v>
      </c>
      <c r="J6" s="4">
        <f>I6/2.5</f>
        <v>8.174064516</v>
      </c>
      <c r="M6" s="7">
        <f>M2/J2</f>
        <v>1.447589833</v>
      </c>
    </row>
    <row r="7" ht="12.75" customHeight="1">
      <c r="B7" s="1">
        <v>9.99</v>
      </c>
      <c r="C7" s="1" t="s">
        <v>86</v>
      </c>
      <c r="D7" s="1" t="s">
        <v>15</v>
      </c>
      <c r="E7" s="3">
        <f t="shared" si="1"/>
        <v>100.12</v>
      </c>
      <c r="H7" s="6">
        <f>(H6 - Sheet1!G6) / Sheet1!G6</f>
        <v>-0.003037361115</v>
      </c>
      <c r="I7" s="6">
        <f>(I6 - Sheet1!I6) / Sheet1!I6</f>
        <v>-0.003037361115</v>
      </c>
      <c r="J7" s="6">
        <f>(J6 - Sheet1!J6) / Sheet1!J6</f>
        <v>-0.003037361115</v>
      </c>
    </row>
    <row r="8">
      <c r="A8" s="2">
        <v>45933.0</v>
      </c>
      <c r="B8" s="1">
        <v>9.15</v>
      </c>
      <c r="C8" s="1" t="s">
        <v>72</v>
      </c>
      <c r="D8" s="1" t="s">
        <v>10</v>
      </c>
      <c r="E8" s="3">
        <f t="shared" si="1"/>
        <v>109.27</v>
      </c>
    </row>
    <row r="9">
      <c r="A9" s="2">
        <v>45934.0</v>
      </c>
      <c r="B9" s="1">
        <v>12.56</v>
      </c>
      <c r="C9" s="1" t="s">
        <v>87</v>
      </c>
      <c r="D9" s="1" t="s">
        <v>10</v>
      </c>
      <c r="E9" s="3">
        <f t="shared" si="1"/>
        <v>121.83</v>
      </c>
    </row>
    <row r="10">
      <c r="B10" s="1">
        <v>5.32</v>
      </c>
      <c r="C10" s="1" t="s">
        <v>88</v>
      </c>
      <c r="D10" s="1" t="s">
        <v>10</v>
      </c>
      <c r="E10" s="3">
        <f t="shared" si="1"/>
        <v>127.15</v>
      </c>
    </row>
    <row r="11">
      <c r="B11" s="1">
        <v>55.31</v>
      </c>
      <c r="C11" s="1" t="s">
        <v>36</v>
      </c>
      <c r="D11" s="1" t="s">
        <v>15</v>
      </c>
      <c r="E11" s="3">
        <f t="shared" si="1"/>
        <v>182.46</v>
      </c>
    </row>
    <row r="12">
      <c r="A12" s="2">
        <v>45935.0</v>
      </c>
      <c r="B12" s="1">
        <v>13.08</v>
      </c>
      <c r="C12" s="1" t="s">
        <v>89</v>
      </c>
      <c r="D12" s="1" t="s">
        <v>10</v>
      </c>
      <c r="E12" s="3">
        <f t="shared" si="1"/>
        <v>195.54</v>
      </c>
    </row>
    <row r="13">
      <c r="A13" s="2">
        <v>45936.0</v>
      </c>
      <c r="B13" s="1">
        <v>2.49</v>
      </c>
      <c r="C13" s="1" t="s">
        <v>90</v>
      </c>
      <c r="D13" s="1" t="s">
        <v>10</v>
      </c>
      <c r="E13" s="3">
        <f t="shared" si="1"/>
        <v>198.03</v>
      </c>
    </row>
    <row r="14">
      <c r="A14" s="2">
        <v>45937.0</v>
      </c>
      <c r="B14" s="1">
        <v>16.0</v>
      </c>
      <c r="C14" s="1" t="s">
        <v>35</v>
      </c>
      <c r="D14" s="1" t="s">
        <v>91</v>
      </c>
      <c r="E14" s="3">
        <f t="shared" si="1"/>
        <v>214.03</v>
      </c>
    </row>
    <row r="15">
      <c r="B15" s="1">
        <v>21.0</v>
      </c>
      <c r="C15" s="1" t="s">
        <v>92</v>
      </c>
      <c r="D15" s="1" t="s">
        <v>6</v>
      </c>
      <c r="E15" s="3">
        <f t="shared" si="1"/>
        <v>235.03</v>
      </c>
    </row>
    <row r="16">
      <c r="A16" s="2">
        <v>45939.0</v>
      </c>
      <c r="B16" s="1">
        <v>9.0</v>
      </c>
      <c r="C16" s="1" t="s">
        <v>93</v>
      </c>
      <c r="D16" s="1" t="s">
        <v>91</v>
      </c>
      <c r="E16" s="3">
        <f t="shared" si="1"/>
        <v>244.03</v>
      </c>
    </row>
    <row r="17">
      <c r="B17" s="1">
        <v>2.49</v>
      </c>
      <c r="C17" s="1" t="s">
        <v>90</v>
      </c>
      <c r="D17" s="1" t="s">
        <v>10</v>
      </c>
      <c r="E17" s="3">
        <f t="shared" si="1"/>
        <v>246.52</v>
      </c>
    </row>
    <row r="18">
      <c r="B18" s="1">
        <v>232.95</v>
      </c>
      <c r="C18" s="1" t="s">
        <v>94</v>
      </c>
      <c r="D18" s="1" t="s">
        <v>11</v>
      </c>
      <c r="E18" s="3">
        <f t="shared" si="1"/>
        <v>479.47</v>
      </c>
    </row>
    <row r="19">
      <c r="A19" s="2">
        <v>45940.0</v>
      </c>
      <c r="B19" s="1">
        <v>20.46</v>
      </c>
      <c r="C19" s="1" t="s">
        <v>95</v>
      </c>
      <c r="D19" s="1" t="s">
        <v>10</v>
      </c>
      <c r="E19" s="3">
        <f t="shared" si="1"/>
        <v>499.93</v>
      </c>
    </row>
    <row r="20">
      <c r="A20" s="2"/>
      <c r="B20" s="1">
        <v>6.09</v>
      </c>
      <c r="C20" s="1" t="s">
        <v>96</v>
      </c>
      <c r="D20" s="1" t="s">
        <v>10</v>
      </c>
      <c r="E20" s="3">
        <f t="shared" si="1"/>
        <v>506.02</v>
      </c>
    </row>
    <row r="21">
      <c r="A21" s="2">
        <v>45941.0</v>
      </c>
      <c r="B21" s="1">
        <v>36.8</v>
      </c>
      <c r="C21" s="1" t="s">
        <v>97</v>
      </c>
      <c r="D21" s="1" t="s">
        <v>6</v>
      </c>
      <c r="E21" s="3">
        <f t="shared" si="1"/>
        <v>542.82</v>
      </c>
    </row>
    <row r="22">
      <c r="A22" s="2"/>
      <c r="B22" s="1">
        <v>14.79</v>
      </c>
      <c r="C22" s="1" t="s">
        <v>98</v>
      </c>
      <c r="D22" s="1" t="s">
        <v>10</v>
      </c>
      <c r="E22" s="3">
        <f t="shared" si="1"/>
        <v>557.61</v>
      </c>
    </row>
    <row r="23">
      <c r="B23" s="1">
        <v>17.1</v>
      </c>
      <c r="C23" s="1" t="s">
        <v>99</v>
      </c>
      <c r="D23" s="1" t="s">
        <v>9</v>
      </c>
      <c r="E23" s="3">
        <f t="shared" si="1"/>
        <v>574.71</v>
      </c>
    </row>
    <row r="24">
      <c r="A24" s="2"/>
      <c r="B24" s="1">
        <v>5.0</v>
      </c>
      <c r="C24" s="1" t="s">
        <v>37</v>
      </c>
      <c r="D24" s="1" t="s">
        <v>6</v>
      </c>
      <c r="E24" s="3">
        <f t="shared" si="1"/>
        <v>579.71</v>
      </c>
    </row>
    <row r="25">
      <c r="A25" s="2">
        <v>45942.0</v>
      </c>
      <c r="B25" s="1">
        <v>4.0</v>
      </c>
      <c r="C25" s="1" t="s">
        <v>90</v>
      </c>
      <c r="D25" s="1" t="s">
        <v>10</v>
      </c>
      <c r="E25" s="3">
        <f t="shared" si="1"/>
        <v>583.71</v>
      </c>
    </row>
    <row r="26">
      <c r="B26" s="1">
        <v>19.77</v>
      </c>
      <c r="C26" s="1" t="s">
        <v>100</v>
      </c>
      <c r="D26" s="1" t="s">
        <v>15</v>
      </c>
      <c r="E26" s="3">
        <f t="shared" si="1"/>
        <v>603.48</v>
      </c>
    </row>
    <row r="27">
      <c r="A27" s="2"/>
      <c r="B27" s="1">
        <v>29.5</v>
      </c>
      <c r="C27" s="1" t="s">
        <v>101</v>
      </c>
      <c r="D27" s="1" t="s">
        <v>10</v>
      </c>
      <c r="E27" s="3">
        <f t="shared" si="1"/>
        <v>632.98</v>
      </c>
    </row>
    <row r="28">
      <c r="A28" s="2"/>
      <c r="B28" s="1">
        <v>10.0</v>
      </c>
      <c r="C28" s="1" t="s">
        <v>102</v>
      </c>
      <c r="D28" s="1" t="s">
        <v>11</v>
      </c>
      <c r="E28" s="3">
        <f t="shared" si="1"/>
        <v>642.98</v>
      </c>
    </row>
    <row r="29">
      <c r="A29" s="2">
        <v>45943.0</v>
      </c>
      <c r="B29" s="1">
        <v>2.6</v>
      </c>
      <c r="C29" s="1" t="s">
        <v>90</v>
      </c>
      <c r="D29" s="1" t="s">
        <v>10</v>
      </c>
      <c r="E29" s="3">
        <f t="shared" si="1"/>
        <v>645.58</v>
      </c>
    </row>
    <row r="30">
      <c r="A30" s="2"/>
      <c r="B30" s="1">
        <v>6.99</v>
      </c>
      <c r="C30" s="1" t="s">
        <v>52</v>
      </c>
      <c r="D30" s="1" t="s">
        <v>10</v>
      </c>
      <c r="E30" s="3">
        <f t="shared" si="1"/>
        <v>652.57</v>
      </c>
    </row>
    <row r="31">
      <c r="A31" s="2">
        <v>45944.0</v>
      </c>
      <c r="B31" s="1">
        <v>11.59</v>
      </c>
      <c r="C31" s="1" t="s">
        <v>103</v>
      </c>
      <c r="D31" s="1" t="s">
        <v>8</v>
      </c>
      <c r="E31" s="3">
        <f t="shared" si="1"/>
        <v>664.16</v>
      </c>
    </row>
    <row r="32">
      <c r="B32" s="1">
        <v>3.47</v>
      </c>
      <c r="C32" s="1" t="s">
        <v>104</v>
      </c>
      <c r="D32" s="1" t="s">
        <v>8</v>
      </c>
      <c r="E32" s="3">
        <f t="shared" si="1"/>
        <v>667.63</v>
      </c>
    </row>
    <row r="33">
      <c r="A33" s="2">
        <v>45945.0</v>
      </c>
      <c r="B33" s="1">
        <v>13.5</v>
      </c>
      <c r="C33" s="1" t="s">
        <v>105</v>
      </c>
      <c r="D33" s="1" t="s">
        <v>10</v>
      </c>
      <c r="E33" s="3">
        <f t="shared" si="1"/>
        <v>681.13</v>
      </c>
    </row>
    <row r="34">
      <c r="A34" s="2">
        <v>45948.0</v>
      </c>
      <c r="B34" s="1">
        <v>15.72</v>
      </c>
      <c r="C34" s="1" t="s">
        <v>63</v>
      </c>
      <c r="D34" s="1" t="s">
        <v>11</v>
      </c>
      <c r="E34" s="3">
        <f t="shared" si="1"/>
        <v>696.85</v>
      </c>
    </row>
    <row r="35">
      <c r="B35" s="1">
        <v>14.01</v>
      </c>
      <c r="C35" s="1" t="s">
        <v>106</v>
      </c>
      <c r="D35" s="1" t="s">
        <v>10</v>
      </c>
      <c r="E35" s="3">
        <f t="shared" si="1"/>
        <v>710.86</v>
      </c>
    </row>
    <row r="36">
      <c r="A36" s="2">
        <v>45949.0</v>
      </c>
      <c r="B36" s="1">
        <v>9.08</v>
      </c>
      <c r="C36" s="1" t="s">
        <v>105</v>
      </c>
      <c r="D36" s="1" t="s">
        <v>10</v>
      </c>
      <c r="E36" s="3">
        <f t="shared" si="1"/>
        <v>719.94</v>
      </c>
    </row>
    <row r="37">
      <c r="B37" s="1">
        <v>62.18</v>
      </c>
      <c r="C37" s="1" t="s">
        <v>107</v>
      </c>
      <c r="D37" s="1" t="s">
        <v>15</v>
      </c>
      <c r="E37" s="3">
        <f t="shared" si="1"/>
        <v>782.12</v>
      </c>
    </row>
    <row r="38">
      <c r="A38" s="2">
        <v>45950.0</v>
      </c>
      <c r="B38" s="1">
        <v>31.0</v>
      </c>
      <c r="C38" s="1" t="s">
        <v>108</v>
      </c>
      <c r="D38" s="1" t="s">
        <v>11</v>
      </c>
      <c r="E38" s="3">
        <f t="shared" si="1"/>
        <v>813.12</v>
      </c>
    </row>
    <row r="39">
      <c r="A39" s="2"/>
      <c r="B39" s="1">
        <v>5.0</v>
      </c>
      <c r="C39" s="1" t="s">
        <v>37</v>
      </c>
      <c r="D39" s="1" t="s">
        <v>6</v>
      </c>
      <c r="E39" s="3">
        <f t="shared" si="1"/>
        <v>818.12</v>
      </c>
    </row>
    <row r="40">
      <c r="B40" s="1">
        <v>11.31</v>
      </c>
      <c r="C40" s="1" t="s">
        <v>98</v>
      </c>
      <c r="D40" s="1" t="s">
        <v>10</v>
      </c>
      <c r="E40" s="3">
        <f t="shared" si="1"/>
        <v>829.43</v>
      </c>
    </row>
    <row r="41">
      <c r="A41" s="2">
        <v>45951.0</v>
      </c>
      <c r="B41" s="1">
        <v>10.0</v>
      </c>
      <c r="C41" s="1" t="s">
        <v>90</v>
      </c>
      <c r="D41" s="1" t="s">
        <v>8</v>
      </c>
      <c r="E41" s="3">
        <f t="shared" si="1"/>
        <v>839.43</v>
      </c>
    </row>
    <row r="42">
      <c r="A42" s="2">
        <v>45952.0</v>
      </c>
      <c r="B42" s="1">
        <f>3.54*2</f>
        <v>7.08</v>
      </c>
      <c r="C42" s="1" t="s">
        <v>109</v>
      </c>
      <c r="D42" s="1" t="s">
        <v>8</v>
      </c>
      <c r="E42" s="3">
        <f t="shared" si="1"/>
        <v>846.51</v>
      </c>
    </row>
    <row r="43">
      <c r="B43" s="1">
        <v>5.35</v>
      </c>
      <c r="C43" s="1" t="s">
        <v>110</v>
      </c>
      <c r="D43" s="1" t="s">
        <v>10</v>
      </c>
      <c r="E43" s="3">
        <f t="shared" si="1"/>
        <v>851.86</v>
      </c>
    </row>
    <row r="44">
      <c r="A44" s="2">
        <v>45953.0</v>
      </c>
      <c r="B44" s="1">
        <v>11.31</v>
      </c>
      <c r="C44" s="1" t="s">
        <v>98</v>
      </c>
      <c r="D44" s="1" t="s">
        <v>10</v>
      </c>
      <c r="E44" s="3">
        <f t="shared" si="1"/>
        <v>863.17</v>
      </c>
    </row>
    <row r="45">
      <c r="A45" s="2"/>
      <c r="B45" s="1">
        <v>17.72</v>
      </c>
      <c r="C45" s="1" t="s">
        <v>109</v>
      </c>
      <c r="D45" s="1" t="s">
        <v>8</v>
      </c>
      <c r="E45" s="3">
        <f t="shared" si="1"/>
        <v>880.89</v>
      </c>
    </row>
    <row r="46">
      <c r="B46" s="1">
        <v>8.21</v>
      </c>
      <c r="C46" s="1" t="s">
        <v>111</v>
      </c>
      <c r="D46" s="1" t="s">
        <v>11</v>
      </c>
      <c r="E46" s="3">
        <f t="shared" si="1"/>
        <v>889.1</v>
      </c>
    </row>
    <row r="47">
      <c r="A47" s="2"/>
      <c r="B47" s="1">
        <v>26.95</v>
      </c>
      <c r="C47" s="1" t="s">
        <v>112</v>
      </c>
      <c r="D47" s="1" t="s">
        <v>6</v>
      </c>
      <c r="E47" s="3">
        <f t="shared" si="1"/>
        <v>916.05</v>
      </c>
    </row>
    <row r="48">
      <c r="A48" s="2">
        <v>45954.0</v>
      </c>
      <c r="B48" s="1">
        <v>9.99</v>
      </c>
      <c r="C48" s="1" t="s">
        <v>113</v>
      </c>
      <c r="D48" s="1" t="s">
        <v>10</v>
      </c>
      <c r="E48" s="3">
        <f t="shared" si="1"/>
        <v>926.04</v>
      </c>
    </row>
    <row r="49">
      <c r="A49" s="2">
        <v>45957.0</v>
      </c>
      <c r="B49" s="1">
        <v>20.47</v>
      </c>
      <c r="C49" s="1" t="s">
        <v>114</v>
      </c>
      <c r="D49" s="1" t="s">
        <v>10</v>
      </c>
      <c r="E49" s="3">
        <f t="shared" si="1"/>
        <v>946.51</v>
      </c>
    </row>
    <row r="50">
      <c r="B50" s="1">
        <v>9.99</v>
      </c>
      <c r="C50" s="1" t="s">
        <v>115</v>
      </c>
      <c r="D50" s="1" t="s">
        <v>10</v>
      </c>
      <c r="E50" s="3">
        <f t="shared" si="1"/>
        <v>956.5</v>
      </c>
    </row>
    <row r="51">
      <c r="B51" s="1">
        <v>14.42</v>
      </c>
      <c r="C51" s="1" t="s">
        <v>116</v>
      </c>
      <c r="D51" s="1" t="s">
        <v>10</v>
      </c>
      <c r="E51" s="3">
        <f t="shared" si="1"/>
        <v>970.92</v>
      </c>
    </row>
    <row r="52">
      <c r="A52" s="2">
        <v>45958.0</v>
      </c>
      <c r="B52" s="1">
        <v>17.6</v>
      </c>
      <c r="C52" s="1" t="s">
        <v>113</v>
      </c>
      <c r="D52" s="1" t="s">
        <v>10</v>
      </c>
      <c r="E52" s="3">
        <f t="shared" si="1"/>
        <v>988.52</v>
      </c>
    </row>
    <row r="53">
      <c r="B53" s="1">
        <v>52.42</v>
      </c>
      <c r="C53" s="1" t="s">
        <v>117</v>
      </c>
      <c r="D53" s="1" t="s">
        <v>11</v>
      </c>
      <c r="E53" s="3">
        <f t="shared" si="1"/>
        <v>1040.94</v>
      </c>
    </row>
    <row r="54">
      <c r="A54" s="2"/>
      <c r="B54" s="1">
        <v>5.0</v>
      </c>
      <c r="C54" s="1" t="s">
        <v>37</v>
      </c>
      <c r="D54" s="1" t="s">
        <v>6</v>
      </c>
      <c r="E54" s="3">
        <f t="shared" si="1"/>
        <v>1045.94</v>
      </c>
    </row>
    <row r="55">
      <c r="B55" s="1">
        <v>39.32</v>
      </c>
      <c r="C55" s="1" t="s">
        <v>7</v>
      </c>
      <c r="D55" s="1" t="s">
        <v>9</v>
      </c>
      <c r="E55" s="3">
        <f t="shared" si="1"/>
        <v>1085.26</v>
      </c>
    </row>
    <row r="56">
      <c r="B56" s="1">
        <v>43.96</v>
      </c>
      <c r="C56" s="1" t="s">
        <v>111</v>
      </c>
      <c r="D56" s="1" t="s">
        <v>15</v>
      </c>
      <c r="E56" s="3">
        <f t="shared" si="1"/>
        <v>1129.22</v>
      </c>
    </row>
    <row r="57">
      <c r="A57" s="2"/>
      <c r="B57" s="1">
        <v>32.33</v>
      </c>
      <c r="C57" s="1" t="s">
        <v>118</v>
      </c>
      <c r="D57" s="1" t="s">
        <v>11</v>
      </c>
      <c r="E57" s="3">
        <f t="shared" si="1"/>
        <v>1161.55</v>
      </c>
    </row>
    <row r="58">
      <c r="A58" s="2">
        <v>45959.0</v>
      </c>
      <c r="B58" s="1">
        <v>12.81</v>
      </c>
      <c r="C58" s="1" t="s">
        <v>98</v>
      </c>
      <c r="D58" s="1" t="s">
        <v>10</v>
      </c>
      <c r="E58" s="3">
        <f t="shared" si="1"/>
        <v>1174.36</v>
      </c>
    </row>
    <row r="59">
      <c r="A59" s="2">
        <v>45960.0</v>
      </c>
      <c r="B59" s="1">
        <v>11.31</v>
      </c>
      <c r="C59" s="1" t="s">
        <v>95</v>
      </c>
      <c r="D59" s="1" t="s">
        <v>10</v>
      </c>
      <c r="E59" s="3">
        <f t="shared" si="1"/>
        <v>1185.67</v>
      </c>
    </row>
    <row r="60">
      <c r="B60" s="1">
        <v>20.46</v>
      </c>
      <c r="C60" s="1" t="s">
        <v>109</v>
      </c>
      <c r="D60" s="1" t="s">
        <v>10</v>
      </c>
      <c r="E60" s="3">
        <f t="shared" si="1"/>
        <v>1206.13</v>
      </c>
    </row>
    <row r="61">
      <c r="A61" s="2">
        <v>45961.0</v>
      </c>
      <c r="B61" s="1">
        <v>6.1</v>
      </c>
      <c r="C61" s="1" t="s">
        <v>109</v>
      </c>
      <c r="D61" s="1" t="s">
        <v>8</v>
      </c>
      <c r="E61" s="3">
        <f t="shared" si="1"/>
        <v>1212.23</v>
      </c>
    </row>
    <row r="62">
      <c r="D62" s="3"/>
    </row>
    <row r="63">
      <c r="D63" s="3"/>
    </row>
    <row r="64"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</sheetData>
  <dataValidations>
    <dataValidation type="list" allowBlank="1" showErrorMessage="1" sqref="D1:D998">
      <formula1>"생필품,식재료,보조제,교통비,구독료,문건 인출비,사치품,외식,자기개발비,Essentials,Food,Supplements,Dining,Luxury,Transportation,Document-related"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119</v>
      </c>
    </row>
    <row r="2">
      <c r="A2" s="2">
        <v>45964.0</v>
      </c>
      <c r="B2" s="1">
        <v>7.01</v>
      </c>
      <c r="C2" s="1" t="s">
        <v>120</v>
      </c>
      <c r="D2" s="1" t="s">
        <v>6</v>
      </c>
      <c r="E2" s="3">
        <f>B2</f>
        <v>7.01</v>
      </c>
      <c r="G2" s="4">
        <f>SUM(B:B)</f>
        <v>2284.18</v>
      </c>
      <c r="H2" s="4">
        <f>sumif(D:D, "Essentials", B:B)</f>
        <v>318.4</v>
      </c>
      <c r="I2" s="4">
        <f>sumif(D:D, "Food", B:B)</f>
        <v>42.98</v>
      </c>
      <c r="J2" s="4">
        <f>sumif(D:D,"Supplements",B:B)</f>
        <v>88.74</v>
      </c>
      <c r="K2" s="4">
        <f>sumif(D:D,"Transportation",B:B)</f>
        <v>384.81</v>
      </c>
      <c r="L2" s="4">
        <f>sumif(D:D,"Dining",B:B)</f>
        <v>447.7</v>
      </c>
      <c r="M2" s="4">
        <f>G2-sum(H2:L2)</f>
        <v>1001.55</v>
      </c>
      <c r="N2" s="4">
        <f>G2-sum(H2:M2)</f>
        <v>0</v>
      </c>
    </row>
    <row r="3">
      <c r="B3" s="1">
        <v>17.66</v>
      </c>
      <c r="C3" s="1" t="s">
        <v>121</v>
      </c>
      <c r="D3" s="1" t="s">
        <v>10</v>
      </c>
      <c r="E3" s="3">
        <f t="shared" ref="E3:E47" si="1">E2+B3</f>
        <v>24.67</v>
      </c>
      <c r="G3" s="6">
        <f>((G2-Sheet2!H2)/Sheet2!H2)</f>
        <v>0.8842793859</v>
      </c>
      <c r="H3" s="6">
        <f>((H2-Sheet2!I2)/Sheet2!I2)</f>
        <v>1.776179266</v>
      </c>
      <c r="I3" s="6">
        <f>((I2-Sheet2!J2)/Sheet2!J2)</f>
        <v>-0.8116564417</v>
      </c>
      <c r="J3" s="6">
        <f>((J2-Sheet2!L2)/Sheet2!L2)</f>
        <v>0.5728465083</v>
      </c>
      <c r="K3" s="6">
        <f>((K2-Sheet2!M2)/Sheet2!M2)</f>
        <v>0.1648907187</v>
      </c>
      <c r="L3" s="6">
        <f>((L2-Sheet2!N2)/Sheet2!N2)</f>
        <v>0.1700598489</v>
      </c>
      <c r="M3" s="6">
        <f>((M2-Sheet2!O2)/Sheet2!O2)</f>
        <v>39.062</v>
      </c>
      <c r="N3" s="4">
        <f>H3-sum(I2:N2)</f>
        <v>-1964.003821</v>
      </c>
    </row>
    <row r="4">
      <c r="B4" s="1">
        <v>822.61</v>
      </c>
      <c r="C4" s="1" t="s">
        <v>122</v>
      </c>
      <c r="D4" s="1" t="s">
        <v>11</v>
      </c>
      <c r="E4" s="3">
        <f t="shared" si="1"/>
        <v>847.28</v>
      </c>
    </row>
    <row r="5">
      <c r="A5" s="2"/>
      <c r="B5" s="1">
        <v>150.0</v>
      </c>
      <c r="C5" s="1" t="s">
        <v>123</v>
      </c>
      <c r="D5" s="1" t="s">
        <v>11</v>
      </c>
      <c r="E5" s="3">
        <f t="shared" si="1"/>
        <v>997.28</v>
      </c>
      <c r="H5" s="1" t="s">
        <v>18</v>
      </c>
      <c r="I5" s="1" t="s">
        <v>19</v>
      </c>
      <c r="J5" s="1" t="s">
        <v>124</v>
      </c>
      <c r="L5" s="1" t="s">
        <v>125</v>
      </c>
    </row>
    <row r="6">
      <c r="A6" s="2"/>
      <c r="B6" s="1">
        <v>25.8</v>
      </c>
      <c r="C6" s="1" t="s">
        <v>126</v>
      </c>
      <c r="D6" s="1" t="s">
        <v>10</v>
      </c>
      <c r="E6" s="3">
        <f t="shared" si="1"/>
        <v>1023.08</v>
      </c>
      <c r="H6" s="4">
        <f>SUM(I2,J2,L2)</f>
        <v>579.42</v>
      </c>
      <c r="I6" s="4">
        <f t="shared" ref="I6:I7" si="2">H6/30</f>
        <v>19.314</v>
      </c>
      <c r="J6" s="4">
        <f>I6/2.5</f>
        <v>7.7256</v>
      </c>
      <c r="L6" s="7">
        <f>L2/I2</f>
        <v>10.41647278</v>
      </c>
    </row>
    <row r="7" ht="12.75" customHeight="1">
      <c r="A7" s="2">
        <v>45965.0</v>
      </c>
      <c r="B7" s="1">
        <v>16.15</v>
      </c>
      <c r="C7" s="1" t="s">
        <v>121</v>
      </c>
      <c r="D7" s="1" t="s">
        <v>10</v>
      </c>
      <c r="E7" s="3">
        <f t="shared" si="1"/>
        <v>1039.23</v>
      </c>
      <c r="H7" s="6">
        <f>(H6 - Sheet2!H6) / Sheet2!H6</f>
        <v>-0.08535257068</v>
      </c>
      <c r="I7" s="6">
        <f t="shared" si="2"/>
        <v>-0.002845085689</v>
      </c>
      <c r="J7" s="6">
        <f>(J6 - Sheet2!J6) / Sheet2!J6</f>
        <v>-0.05486432304</v>
      </c>
    </row>
    <row r="8">
      <c r="A8" s="2"/>
      <c r="B8" s="1">
        <v>158.75</v>
      </c>
      <c r="C8" s="1" t="s">
        <v>127</v>
      </c>
      <c r="D8" s="1" t="s">
        <v>10</v>
      </c>
      <c r="E8" s="3">
        <f t="shared" si="1"/>
        <v>1197.98</v>
      </c>
    </row>
    <row r="9">
      <c r="B9" s="1">
        <v>15.81</v>
      </c>
      <c r="C9" s="1" t="s">
        <v>109</v>
      </c>
      <c r="D9" s="1" t="s">
        <v>8</v>
      </c>
      <c r="E9" s="3">
        <f t="shared" si="1"/>
        <v>1213.79</v>
      </c>
    </row>
    <row r="10">
      <c r="B10" s="1">
        <v>5.0</v>
      </c>
      <c r="C10" s="1" t="s">
        <v>37</v>
      </c>
      <c r="D10" s="1" t="s">
        <v>6</v>
      </c>
      <c r="E10" s="3">
        <f t="shared" si="1"/>
        <v>1218.79</v>
      </c>
    </row>
    <row r="11">
      <c r="A11" s="2">
        <v>45966.0</v>
      </c>
      <c r="B11" s="1">
        <v>11.84</v>
      </c>
      <c r="C11" s="1" t="s">
        <v>128</v>
      </c>
      <c r="D11" s="1" t="s">
        <v>10</v>
      </c>
      <c r="E11" s="3">
        <f t="shared" si="1"/>
        <v>1230.63</v>
      </c>
    </row>
    <row r="12">
      <c r="A12" s="2">
        <v>45967.0</v>
      </c>
      <c r="B12" s="1">
        <v>10.54</v>
      </c>
      <c r="C12" s="1" t="s">
        <v>109</v>
      </c>
      <c r="D12" s="1" t="s">
        <v>8</v>
      </c>
      <c r="E12" s="3">
        <f t="shared" si="1"/>
        <v>1241.17</v>
      </c>
    </row>
    <row r="13">
      <c r="A13" s="2"/>
      <c r="B13" s="1">
        <v>9.19</v>
      </c>
      <c r="C13" s="1" t="s">
        <v>129</v>
      </c>
      <c r="D13" s="1" t="s">
        <v>6</v>
      </c>
      <c r="E13" s="3">
        <f t="shared" si="1"/>
        <v>1250.36</v>
      </c>
    </row>
    <row r="14">
      <c r="A14" s="2"/>
      <c r="B14" s="1">
        <v>23.0</v>
      </c>
      <c r="C14" s="1" t="s">
        <v>130</v>
      </c>
      <c r="D14" s="1" t="s">
        <v>9</v>
      </c>
      <c r="E14" s="3">
        <f t="shared" si="1"/>
        <v>1273.36</v>
      </c>
    </row>
    <row r="15">
      <c r="B15" s="1">
        <v>-100.0</v>
      </c>
      <c r="C15" s="1" t="s">
        <v>131</v>
      </c>
      <c r="D15" s="1" t="s">
        <v>6</v>
      </c>
      <c r="E15" s="3">
        <f t="shared" si="1"/>
        <v>1173.36</v>
      </c>
    </row>
    <row r="16">
      <c r="A16" s="2"/>
      <c r="B16" s="1">
        <v>8.38</v>
      </c>
      <c r="C16" s="1" t="s">
        <v>109</v>
      </c>
      <c r="D16" s="1" t="s">
        <v>8</v>
      </c>
      <c r="E16" s="3">
        <f t="shared" si="1"/>
        <v>1181.74</v>
      </c>
    </row>
    <row r="17">
      <c r="A17" s="2">
        <v>45968.0</v>
      </c>
      <c r="B17" s="1">
        <v>11.72</v>
      </c>
      <c r="C17" s="1" t="s">
        <v>98</v>
      </c>
      <c r="D17" s="1" t="s">
        <v>10</v>
      </c>
      <c r="E17" s="3">
        <f t="shared" si="1"/>
        <v>1193.46</v>
      </c>
    </row>
    <row r="18">
      <c r="B18" s="1">
        <v>9.15</v>
      </c>
      <c r="C18" s="1" t="s">
        <v>118</v>
      </c>
      <c r="D18" s="1" t="s">
        <v>10</v>
      </c>
      <c r="E18" s="3">
        <f t="shared" si="1"/>
        <v>1202.61</v>
      </c>
    </row>
    <row r="19">
      <c r="A19" s="2"/>
      <c r="B19" s="1">
        <v>10.99</v>
      </c>
      <c r="C19" s="1" t="s">
        <v>57</v>
      </c>
      <c r="D19" s="1" t="s">
        <v>15</v>
      </c>
      <c r="E19" s="3">
        <f t="shared" si="1"/>
        <v>1213.6</v>
      </c>
    </row>
    <row r="20">
      <c r="A20" s="2">
        <v>45969.0</v>
      </c>
      <c r="B20" s="1">
        <v>14.2</v>
      </c>
      <c r="C20" s="1" t="s">
        <v>132</v>
      </c>
      <c r="D20" s="1" t="s">
        <v>9</v>
      </c>
      <c r="E20" s="3">
        <f t="shared" si="1"/>
        <v>1227.8</v>
      </c>
    </row>
    <row r="21">
      <c r="A21" s="2">
        <v>45970.0</v>
      </c>
      <c r="B21" s="1">
        <v>42.5</v>
      </c>
      <c r="C21" s="1" t="s">
        <v>133</v>
      </c>
      <c r="D21" s="1" t="s">
        <v>10</v>
      </c>
      <c r="E21" s="3">
        <f t="shared" si="1"/>
        <v>1270.3</v>
      </c>
    </row>
    <row r="22">
      <c r="A22" s="2"/>
      <c r="B22" s="1">
        <v>8.37</v>
      </c>
      <c r="C22" s="1" t="s">
        <v>134</v>
      </c>
      <c r="D22" s="1" t="s">
        <v>10</v>
      </c>
      <c r="E22" s="3">
        <f t="shared" si="1"/>
        <v>1278.67</v>
      </c>
    </row>
    <row r="23">
      <c r="B23" s="1">
        <v>6.0</v>
      </c>
      <c r="C23" s="1" t="s">
        <v>135</v>
      </c>
      <c r="D23" s="1" t="s">
        <v>9</v>
      </c>
      <c r="E23" s="3">
        <f t="shared" si="1"/>
        <v>1284.67</v>
      </c>
    </row>
    <row r="24">
      <c r="A24" s="2">
        <v>45971.0</v>
      </c>
      <c r="B24" s="1">
        <v>2.49</v>
      </c>
      <c r="C24" s="1" t="s">
        <v>136</v>
      </c>
      <c r="D24" s="1" t="s">
        <v>11</v>
      </c>
      <c r="E24" s="3">
        <f t="shared" si="1"/>
        <v>1287.16</v>
      </c>
    </row>
    <row r="25">
      <c r="A25" s="2"/>
      <c r="B25" s="1">
        <v>11.84</v>
      </c>
      <c r="C25" s="1" t="s">
        <v>118</v>
      </c>
      <c r="D25" s="1" t="s">
        <v>10</v>
      </c>
      <c r="E25" s="3">
        <f t="shared" si="1"/>
        <v>1299</v>
      </c>
    </row>
    <row r="26">
      <c r="A26" s="2">
        <v>45972.0</v>
      </c>
      <c r="B26" s="1">
        <v>36.8</v>
      </c>
      <c r="C26" s="1" t="s">
        <v>97</v>
      </c>
      <c r="D26" s="1" t="s">
        <v>6</v>
      </c>
      <c r="E26" s="3">
        <f t="shared" si="1"/>
        <v>1335.8</v>
      </c>
    </row>
    <row r="27">
      <c r="A27" s="2"/>
      <c r="B27" s="1">
        <v>20.62</v>
      </c>
      <c r="C27" s="1" t="s">
        <v>132</v>
      </c>
      <c r="D27" s="1" t="s">
        <v>9</v>
      </c>
      <c r="E27" s="3">
        <f t="shared" si="1"/>
        <v>1356.42</v>
      </c>
    </row>
    <row r="28">
      <c r="A28" s="2"/>
      <c r="B28" s="1">
        <v>260.0</v>
      </c>
      <c r="C28" s="1" t="s">
        <v>137</v>
      </c>
      <c r="D28" s="1" t="s">
        <v>9</v>
      </c>
      <c r="E28" s="3">
        <f t="shared" si="1"/>
        <v>1616.42</v>
      </c>
    </row>
    <row r="29">
      <c r="A29" s="2">
        <v>45973.0</v>
      </c>
      <c r="B29" s="1">
        <v>5.93</v>
      </c>
      <c r="C29" s="1" t="s">
        <v>138</v>
      </c>
      <c r="D29" s="1" t="s">
        <v>6</v>
      </c>
      <c r="E29" s="3">
        <f t="shared" si="1"/>
        <v>1622.35</v>
      </c>
    </row>
    <row r="30">
      <c r="A30" s="2">
        <v>45974.0</v>
      </c>
      <c r="B30" s="3">
        <f>5.75+4.5</f>
        <v>10.25</v>
      </c>
      <c r="C30" s="1" t="s">
        <v>37</v>
      </c>
      <c r="D30" s="1" t="s">
        <v>6</v>
      </c>
      <c r="E30" s="3">
        <f t="shared" si="1"/>
        <v>1632.6</v>
      </c>
    </row>
    <row r="31">
      <c r="A31" s="2">
        <v>45976.0</v>
      </c>
      <c r="B31" s="1">
        <v>15.22</v>
      </c>
      <c r="C31" s="1" t="s">
        <v>139</v>
      </c>
      <c r="D31" s="1" t="s">
        <v>10</v>
      </c>
      <c r="E31" s="3">
        <f t="shared" si="1"/>
        <v>1647.82</v>
      </c>
    </row>
    <row r="32">
      <c r="A32" s="2">
        <v>45977.0</v>
      </c>
      <c r="B32" s="1">
        <v>9.15</v>
      </c>
      <c r="C32" s="1" t="s">
        <v>118</v>
      </c>
      <c r="D32" s="1" t="s">
        <v>10</v>
      </c>
      <c r="E32" s="3">
        <f t="shared" si="1"/>
        <v>1656.97</v>
      </c>
    </row>
    <row r="33">
      <c r="A33" s="2"/>
      <c r="B33" s="1">
        <v>15.0</v>
      </c>
      <c r="C33" s="1" t="s">
        <v>130</v>
      </c>
      <c r="D33" s="1" t="s">
        <v>6</v>
      </c>
      <c r="E33" s="3">
        <f t="shared" si="1"/>
        <v>1671.97</v>
      </c>
    </row>
    <row r="34">
      <c r="A34" s="2">
        <v>45978.0</v>
      </c>
      <c r="B34" s="1">
        <v>11.84</v>
      </c>
      <c r="C34" s="1" t="s">
        <v>118</v>
      </c>
      <c r="D34" s="1" t="s">
        <v>10</v>
      </c>
      <c r="E34" s="3">
        <f t="shared" si="1"/>
        <v>1683.81</v>
      </c>
    </row>
    <row r="35">
      <c r="B35" s="1">
        <v>8.76</v>
      </c>
      <c r="C35" s="1" t="s">
        <v>78</v>
      </c>
      <c r="D35" s="1" t="s">
        <v>15</v>
      </c>
      <c r="E35" s="3">
        <f t="shared" si="1"/>
        <v>1692.57</v>
      </c>
    </row>
    <row r="36">
      <c r="A36" s="2"/>
      <c r="B36" s="1">
        <v>26.1</v>
      </c>
      <c r="C36" s="1" t="s">
        <v>140</v>
      </c>
      <c r="D36" s="1" t="s">
        <v>8</v>
      </c>
      <c r="E36" s="3">
        <f t="shared" si="1"/>
        <v>1718.67</v>
      </c>
    </row>
    <row r="37">
      <c r="B37" s="1">
        <v>51.93</v>
      </c>
      <c r="C37" s="1" t="s">
        <v>141</v>
      </c>
      <c r="D37" s="1" t="s">
        <v>6</v>
      </c>
      <c r="E37" s="3">
        <f t="shared" si="1"/>
        <v>1770.6</v>
      </c>
    </row>
    <row r="38">
      <c r="A38" s="2"/>
      <c r="B38" s="1">
        <v>173.27</v>
      </c>
      <c r="C38" s="1" t="s">
        <v>142</v>
      </c>
      <c r="D38" s="1" t="s">
        <v>6</v>
      </c>
      <c r="E38" s="3">
        <f t="shared" si="1"/>
        <v>1943.87</v>
      </c>
    </row>
    <row r="39">
      <c r="A39" s="2">
        <v>46344.0</v>
      </c>
      <c r="B39" s="1">
        <v>5.25</v>
      </c>
      <c r="C39" s="1" t="s">
        <v>37</v>
      </c>
      <c r="D39" s="1" t="s">
        <v>6</v>
      </c>
      <c r="E39" s="3">
        <f t="shared" si="1"/>
        <v>1949.12</v>
      </c>
    </row>
    <row r="40">
      <c r="B40" s="1">
        <v>12.84</v>
      </c>
      <c r="C40" s="1" t="s">
        <v>36</v>
      </c>
      <c r="D40" s="1" t="s">
        <v>15</v>
      </c>
      <c r="E40" s="3">
        <f t="shared" si="1"/>
        <v>1961.96</v>
      </c>
    </row>
    <row r="41">
      <c r="A41" s="2"/>
      <c r="B41" s="1">
        <v>80.0</v>
      </c>
      <c r="C41" s="1" t="s">
        <v>143</v>
      </c>
      <c r="D41" s="1" t="s">
        <v>6</v>
      </c>
      <c r="E41" s="3">
        <f t="shared" si="1"/>
        <v>2041.96</v>
      </c>
    </row>
    <row r="42">
      <c r="A42" s="2"/>
      <c r="B42" s="1">
        <v>20.0</v>
      </c>
      <c r="C42" s="1" t="s">
        <v>144</v>
      </c>
      <c r="D42" s="1" t="s">
        <v>8</v>
      </c>
      <c r="E42" s="3">
        <f t="shared" si="1"/>
        <v>2061.96</v>
      </c>
    </row>
    <row r="43">
      <c r="B43" s="1">
        <v>31.28</v>
      </c>
      <c r="C43" s="1" t="s">
        <v>145</v>
      </c>
      <c r="D43" s="1" t="s">
        <v>10</v>
      </c>
      <c r="E43" s="3">
        <f t="shared" si="1"/>
        <v>2093.24</v>
      </c>
    </row>
    <row r="44">
      <c r="A44" s="2">
        <v>46346.0</v>
      </c>
      <c r="B44" s="1">
        <v>7.91</v>
      </c>
      <c r="C44" s="1" t="s">
        <v>146</v>
      </c>
      <c r="D44" s="1" t="s">
        <v>8</v>
      </c>
      <c r="E44" s="3">
        <f t="shared" si="1"/>
        <v>2101.15</v>
      </c>
    </row>
    <row r="45">
      <c r="A45" s="2"/>
      <c r="B45" s="1">
        <f>5.92+7.85</f>
        <v>13.77</v>
      </c>
      <c r="C45" s="1" t="s">
        <v>141</v>
      </c>
      <c r="D45" s="1" t="s">
        <v>6</v>
      </c>
      <c r="E45" s="3">
        <f t="shared" si="1"/>
        <v>2114.92</v>
      </c>
    </row>
    <row r="46">
      <c r="B46" s="1">
        <v>10.39</v>
      </c>
      <c r="C46" s="1" t="s">
        <v>147</v>
      </c>
      <c r="D46" s="1" t="s">
        <v>15</v>
      </c>
      <c r="E46" s="3">
        <f t="shared" si="1"/>
        <v>2125.31</v>
      </c>
    </row>
    <row r="47">
      <c r="A47" s="2"/>
      <c r="B47" s="1">
        <v>10.0</v>
      </c>
      <c r="C47" s="1" t="s">
        <v>90</v>
      </c>
      <c r="D47" s="1" t="s">
        <v>11</v>
      </c>
      <c r="E47" s="3">
        <f t="shared" si="1"/>
        <v>2135.31</v>
      </c>
    </row>
    <row r="48">
      <c r="A48" s="2"/>
      <c r="B48" s="1">
        <v>6.98</v>
      </c>
      <c r="C48" s="1" t="s">
        <v>148</v>
      </c>
      <c r="D48" s="1" t="s">
        <v>10</v>
      </c>
      <c r="E48" s="3">
        <f>E46+B47</f>
        <v>2135.31</v>
      </c>
    </row>
    <row r="49">
      <c r="A49" s="2"/>
      <c r="B49" s="1">
        <v>5.0</v>
      </c>
      <c r="C49" s="1" t="s">
        <v>37</v>
      </c>
      <c r="D49" s="1" t="s">
        <v>6</v>
      </c>
      <c r="E49" s="3">
        <f t="shared" ref="E49:E57" si="3">E48+B49</f>
        <v>2140.31</v>
      </c>
    </row>
    <row r="50">
      <c r="A50" s="2">
        <v>46354.0</v>
      </c>
      <c r="B50" s="1">
        <v>6.69</v>
      </c>
      <c r="C50" s="1" t="s">
        <v>149</v>
      </c>
      <c r="D50" s="1" t="s">
        <v>10</v>
      </c>
      <c r="E50" s="3">
        <f t="shared" si="3"/>
        <v>2147</v>
      </c>
    </row>
    <row r="51">
      <c r="B51" s="1">
        <v>21.38</v>
      </c>
      <c r="C51" s="1" t="s">
        <v>150</v>
      </c>
      <c r="D51" s="1" t="s">
        <v>9</v>
      </c>
      <c r="E51" s="3">
        <f t="shared" si="3"/>
        <v>2168.38</v>
      </c>
    </row>
    <row r="52">
      <c r="B52" s="1">
        <v>10.34</v>
      </c>
      <c r="C52" s="1" t="s">
        <v>151</v>
      </c>
      <c r="D52" s="1" t="s">
        <v>10</v>
      </c>
      <c r="E52" s="3">
        <f t="shared" si="3"/>
        <v>2178.72</v>
      </c>
    </row>
    <row r="53">
      <c r="A53" s="2"/>
      <c r="B53" s="1">
        <f>16.35+0.31</f>
        <v>16.66</v>
      </c>
      <c r="C53" s="1" t="s">
        <v>152</v>
      </c>
      <c r="D53" s="1" t="s">
        <v>9</v>
      </c>
      <c r="E53" s="3">
        <f t="shared" si="3"/>
        <v>2195.38</v>
      </c>
    </row>
    <row r="54">
      <c r="B54" s="1">
        <v>12.81</v>
      </c>
      <c r="C54" s="1" t="s">
        <v>118</v>
      </c>
      <c r="D54" s="1" t="s">
        <v>10</v>
      </c>
      <c r="E54" s="3">
        <f t="shared" si="3"/>
        <v>2208.19</v>
      </c>
    </row>
    <row r="55">
      <c r="B55" s="1">
        <v>22.95</v>
      </c>
      <c r="C55" s="1" t="s">
        <v>152</v>
      </c>
      <c r="D55" s="1" t="s">
        <v>9</v>
      </c>
      <c r="E55" s="3">
        <f t="shared" si="3"/>
        <v>2231.14</v>
      </c>
    </row>
    <row r="56">
      <c r="A56" s="2"/>
      <c r="B56" s="1">
        <v>29.61</v>
      </c>
      <c r="C56" s="1" t="s">
        <v>153</v>
      </c>
      <c r="D56" s="1" t="s">
        <v>10</v>
      </c>
      <c r="E56" s="3">
        <f t="shared" si="3"/>
        <v>2260.75</v>
      </c>
    </row>
    <row r="57">
      <c r="A57" s="2"/>
      <c r="B57" s="1">
        <v>16.45</v>
      </c>
      <c r="C57" s="1" t="s">
        <v>55</v>
      </c>
      <c r="D57" s="1" t="s">
        <v>11</v>
      </c>
      <c r="E57" s="3">
        <f t="shared" si="3"/>
        <v>2277.2</v>
      </c>
    </row>
    <row r="58">
      <c r="A58" s="2"/>
      <c r="D58" s="3"/>
    </row>
    <row r="59">
      <c r="D59" s="3"/>
    </row>
    <row r="60">
      <c r="A60" s="2"/>
      <c r="D60" s="3"/>
    </row>
    <row r="61">
      <c r="D61" s="3"/>
    </row>
    <row r="62">
      <c r="D62" s="3"/>
    </row>
    <row r="63">
      <c r="D63" s="3"/>
    </row>
    <row r="64"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</sheetData>
  <dataValidations>
    <dataValidation type="list" allowBlank="1" showErrorMessage="1" sqref="D1:D999">
      <formula1>"생필품,식재료,보조제,교통비,구독료,문건 인출비,사치품,외식,자기개발비,Essentials,Food,Supplements,Dining,Luxury,Transportation"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154</v>
      </c>
      <c r="H1" s="1" t="s">
        <v>5</v>
      </c>
      <c r="I1" s="1" t="s">
        <v>6</v>
      </c>
      <c r="J1" s="1" t="s">
        <v>155</v>
      </c>
      <c r="K1" s="1" t="s">
        <v>8</v>
      </c>
      <c r="L1" s="1" t="s">
        <v>9</v>
      </c>
      <c r="M1" s="1"/>
      <c r="N1" s="1" t="s">
        <v>11</v>
      </c>
      <c r="O1" s="1" t="s">
        <v>119</v>
      </c>
    </row>
    <row r="2">
      <c r="A2" s="2">
        <v>46357.0</v>
      </c>
      <c r="B2" s="1">
        <v>70.18</v>
      </c>
      <c r="C2" s="1" t="s">
        <v>156</v>
      </c>
      <c r="D2" s="1" t="s">
        <v>157</v>
      </c>
      <c r="E2" s="3">
        <f>B2</f>
        <v>70.18</v>
      </c>
      <c r="H2" s="4">
        <f>SUM(B:B)</f>
        <v>588.59</v>
      </c>
      <c r="I2" s="4">
        <f>sumif(D:D, "생필품", B:B)</f>
        <v>137.89</v>
      </c>
      <c r="J2" s="4">
        <f>sumif(D:D, "식재료", B:B)</f>
        <v>59.28</v>
      </c>
      <c r="K2" s="4">
        <f>sumif(D:D,"보조제",B:B)</f>
        <v>30.8</v>
      </c>
      <c r="L2" s="4">
        <f>sumif(D:D,"교통비",B:B)</f>
        <v>52.22</v>
      </c>
      <c r="M2" s="4">
        <f>sumif(D:D,"외식",B:B)</f>
        <v>0</v>
      </c>
      <c r="N2" s="4">
        <f>sumif(D:D,"사치품",B:B)</f>
        <v>152.9</v>
      </c>
      <c r="O2" s="4">
        <f>H2-sum(I2:N2)</f>
        <v>155.5</v>
      </c>
    </row>
    <row r="3">
      <c r="B3" s="1">
        <v>9.49</v>
      </c>
      <c r="C3" s="1" t="s">
        <v>158</v>
      </c>
      <c r="D3" s="1" t="s">
        <v>159</v>
      </c>
      <c r="E3" s="3">
        <f t="shared" ref="E3:E6" si="1">E2+B3</f>
        <v>79.67</v>
      </c>
      <c r="H3" s="6">
        <f>((H2-Sheet3!G2)/Sheet3!G2)</f>
        <v>-0.7423189066</v>
      </c>
      <c r="I3" s="6">
        <f>((I2-Sheet3!H2)/Sheet3!H2)</f>
        <v>-0.566928392</v>
      </c>
      <c r="J3" s="6">
        <f>((J2-Sheet3!I2)/Sheet3!I2)</f>
        <v>0.379246161</v>
      </c>
      <c r="K3" s="6" t="str">
        <f>((K2-#REF!)/#REF!)</f>
        <v>#REF!</v>
      </c>
      <c r="L3" s="6">
        <f>((L2-Sheet3!J2)/Sheet3!J2)</f>
        <v>-0.4115393284</v>
      </c>
      <c r="M3" s="6">
        <f>((M2-Sheet3!K2)/Sheet3!K2)</f>
        <v>-1</v>
      </c>
      <c r="N3" s="6">
        <f>((N2-Sheet3!L2)/Sheet3!L2)</f>
        <v>-0.6584766585</v>
      </c>
      <c r="O3" s="6">
        <f>((O2-Sheet3!M2)/Sheet3!M2)</f>
        <v>-0.844740652</v>
      </c>
    </row>
    <row r="4">
      <c r="B4" s="1">
        <v>88.35</v>
      </c>
      <c r="C4" s="1" t="s">
        <v>160</v>
      </c>
      <c r="D4" s="1" t="s">
        <v>161</v>
      </c>
      <c r="E4" s="3">
        <f t="shared" si="1"/>
        <v>168.02</v>
      </c>
    </row>
    <row r="5">
      <c r="B5" s="1">
        <v>39.8</v>
      </c>
      <c r="C5" s="1" t="s">
        <v>71</v>
      </c>
      <c r="D5" s="1" t="s">
        <v>159</v>
      </c>
      <c r="E5" s="3">
        <f t="shared" si="1"/>
        <v>207.82</v>
      </c>
      <c r="H5" s="1" t="s">
        <v>162</v>
      </c>
    </row>
    <row r="6">
      <c r="B6" s="1">
        <v>19.44</v>
      </c>
      <c r="C6" s="1" t="s">
        <v>46</v>
      </c>
      <c r="D6" s="1" t="s">
        <v>163</v>
      </c>
      <c r="E6" s="3">
        <f t="shared" si="1"/>
        <v>227.26</v>
      </c>
      <c r="H6" s="4">
        <f t="shared" ref="H6:O6" si="2">H2*2.81</f>
        <v>1653.9379</v>
      </c>
      <c r="I6" s="4">
        <f t="shared" si="2"/>
        <v>387.4709</v>
      </c>
      <c r="J6" s="4">
        <f t="shared" si="2"/>
        <v>166.5768</v>
      </c>
      <c r="K6" s="4">
        <f t="shared" si="2"/>
        <v>86.548</v>
      </c>
      <c r="L6" s="4">
        <f t="shared" si="2"/>
        <v>146.7382</v>
      </c>
      <c r="M6" s="4">
        <f t="shared" si="2"/>
        <v>0</v>
      </c>
      <c r="N6" s="4">
        <f t="shared" si="2"/>
        <v>429.649</v>
      </c>
      <c r="O6" s="4">
        <f t="shared" si="2"/>
        <v>436.955</v>
      </c>
    </row>
    <row r="7">
      <c r="B7" s="1">
        <v>24.23</v>
      </c>
      <c r="C7" s="1" t="s">
        <v>164</v>
      </c>
      <c r="D7" s="1" t="s">
        <v>157</v>
      </c>
      <c r="E7" s="3">
        <f>E3+B7</f>
        <v>103.9</v>
      </c>
      <c r="H7" s="8">
        <f>(H6-Sheet3!G2)/Sheet3!G2</f>
        <v>-0.2759161275</v>
      </c>
      <c r="I7" s="6">
        <f>(I6-Sheet3!H2)/Sheet3!H2</f>
        <v>0.2169312186</v>
      </c>
      <c r="J7" s="6">
        <f>(J6-Sheet3!I2)/Sheet3!I2</f>
        <v>2.875681712</v>
      </c>
      <c r="K7" s="6" t="str">
        <f>(K6-#REF!)/#REF!</f>
        <v>#REF!</v>
      </c>
      <c r="L7" s="6">
        <f>(L6-Sheet3!J2)/Sheet3!J2</f>
        <v>0.6535744873</v>
      </c>
      <c r="M7" s="6">
        <f>(M6-Sheet3!K2)/Sheet3!K2</f>
        <v>-1</v>
      </c>
      <c r="N7" s="6">
        <f>(N6-Sheet3!L2)/Sheet3!L2</f>
        <v>-0.04031941032</v>
      </c>
      <c r="O7" s="6">
        <f>(O6-Sheet3!M2)/Sheet3!M2</f>
        <v>-0.5637212321</v>
      </c>
    </row>
    <row r="8">
      <c r="A8" s="2">
        <v>46358.0</v>
      </c>
      <c r="B8" s="1">
        <v>33.45</v>
      </c>
      <c r="C8" s="1" t="s">
        <v>52</v>
      </c>
      <c r="D8" s="1" t="s">
        <v>161</v>
      </c>
      <c r="E8" s="3">
        <f t="shared" ref="E8:E28" si="3">E7+B8</f>
        <v>137.35</v>
      </c>
      <c r="H8" s="1" t="s">
        <v>18</v>
      </c>
      <c r="J8" s="1" t="s">
        <v>19</v>
      </c>
      <c r="K8" s="1" t="s">
        <v>124</v>
      </c>
      <c r="M8" s="1" t="s">
        <v>125</v>
      </c>
    </row>
    <row r="9">
      <c r="A9" s="2"/>
      <c r="B9" s="1">
        <v>13.79</v>
      </c>
      <c r="C9" s="1" t="s">
        <v>98</v>
      </c>
      <c r="D9" s="1" t="s">
        <v>10</v>
      </c>
      <c r="E9" s="3">
        <f t="shared" si="3"/>
        <v>151.14</v>
      </c>
      <c r="H9" s="4">
        <f>SUM(J2,K2,M2)</f>
        <v>90.08</v>
      </c>
      <c r="J9" s="4">
        <f>H9/11</f>
        <v>8.189090909</v>
      </c>
      <c r="K9" s="4">
        <f>J9/2.5</f>
        <v>3.275636364</v>
      </c>
      <c r="M9" s="7">
        <f>M2/J2</f>
        <v>0</v>
      </c>
    </row>
    <row r="10" ht="12.75" customHeight="1">
      <c r="A10" s="2">
        <v>46360.0</v>
      </c>
      <c r="B10" s="1">
        <v>15.94</v>
      </c>
      <c r="C10" s="1" t="s">
        <v>165</v>
      </c>
      <c r="D10" s="1" t="s">
        <v>10</v>
      </c>
      <c r="E10" s="3">
        <f t="shared" si="3"/>
        <v>167.08</v>
      </c>
      <c r="H10" s="6">
        <f>(H9 - Sheet3!H6) / Sheet3!H6</f>
        <v>-0.8445341894</v>
      </c>
      <c r="J10" s="6" t="str">
        <f>(J9 - #REF!) / #REF!</f>
        <v>#REF!</v>
      </c>
      <c r="K10" s="6">
        <f>(K9 - Sheet3!J6) / Sheet3!J6</f>
        <v>-0.5760023346</v>
      </c>
    </row>
    <row r="11">
      <c r="A11" s="2"/>
      <c r="B11" s="1">
        <v>9.99</v>
      </c>
      <c r="C11" s="1" t="s">
        <v>166</v>
      </c>
      <c r="D11" s="1" t="s">
        <v>159</v>
      </c>
      <c r="E11" s="3">
        <f t="shared" si="3"/>
        <v>177.07</v>
      </c>
    </row>
    <row r="12">
      <c r="A12" s="2">
        <v>46363.0</v>
      </c>
      <c r="B12" s="1">
        <v>5.0</v>
      </c>
      <c r="C12" s="1" t="s">
        <v>37</v>
      </c>
      <c r="D12" s="1" t="s">
        <v>157</v>
      </c>
      <c r="E12" s="3">
        <f t="shared" si="3"/>
        <v>182.07</v>
      </c>
    </row>
    <row r="13">
      <c r="A13" s="2">
        <v>46364.0</v>
      </c>
      <c r="B13" s="1">
        <v>12.75</v>
      </c>
      <c r="C13" s="1" t="s">
        <v>145</v>
      </c>
      <c r="D13" s="1" t="s">
        <v>10</v>
      </c>
      <c r="E13" s="3">
        <f t="shared" si="3"/>
        <v>194.82</v>
      </c>
    </row>
    <row r="14">
      <c r="A14" s="2"/>
      <c r="B14" s="1">
        <v>7.53</v>
      </c>
      <c r="C14" s="1" t="s">
        <v>121</v>
      </c>
      <c r="D14" s="1" t="s">
        <v>10</v>
      </c>
      <c r="E14" s="3">
        <f t="shared" si="3"/>
        <v>202.35</v>
      </c>
    </row>
    <row r="15">
      <c r="A15" s="2"/>
      <c r="B15" s="1">
        <v>14.32</v>
      </c>
      <c r="C15" s="1" t="s">
        <v>152</v>
      </c>
      <c r="D15" s="1" t="s">
        <v>167</v>
      </c>
      <c r="E15" s="3">
        <f t="shared" si="3"/>
        <v>216.67</v>
      </c>
    </row>
    <row r="16">
      <c r="A16" s="2"/>
      <c r="B16" s="1">
        <v>26.17</v>
      </c>
      <c r="C16" s="1" t="s">
        <v>168</v>
      </c>
      <c r="D16" s="1" t="s">
        <v>10</v>
      </c>
      <c r="E16" s="3">
        <f t="shared" si="3"/>
        <v>242.84</v>
      </c>
    </row>
    <row r="17">
      <c r="A17" s="2">
        <v>46365.0</v>
      </c>
      <c r="B17" s="1">
        <v>18.96</v>
      </c>
      <c r="C17" s="1" t="s">
        <v>152</v>
      </c>
      <c r="D17" s="1" t="s">
        <v>167</v>
      </c>
      <c r="E17" s="3">
        <f t="shared" si="3"/>
        <v>261.8</v>
      </c>
    </row>
    <row r="18">
      <c r="B18" s="1">
        <v>11.36</v>
      </c>
      <c r="C18" s="1" t="s">
        <v>140</v>
      </c>
      <c r="D18" s="1" t="s">
        <v>163</v>
      </c>
      <c r="E18" s="3">
        <f t="shared" si="3"/>
        <v>273.16</v>
      </c>
    </row>
    <row r="19">
      <c r="A19" s="2"/>
      <c r="B19" s="1">
        <v>12.99</v>
      </c>
      <c r="C19" s="1" t="s">
        <v>169</v>
      </c>
      <c r="D19" s="1" t="s">
        <v>157</v>
      </c>
      <c r="E19" s="3">
        <f t="shared" si="3"/>
        <v>286.15</v>
      </c>
    </row>
    <row r="20">
      <c r="A20" s="2">
        <v>46366.0</v>
      </c>
      <c r="B20" s="1">
        <v>20.78</v>
      </c>
      <c r="C20" s="1" t="s">
        <v>170</v>
      </c>
      <c r="D20" s="1" t="s">
        <v>10</v>
      </c>
      <c r="E20" s="3">
        <f t="shared" si="3"/>
        <v>306.93</v>
      </c>
    </row>
    <row r="21">
      <c r="A21" s="2">
        <v>46367.0</v>
      </c>
      <c r="B21" s="1">
        <v>17.05</v>
      </c>
      <c r="C21" s="1" t="s">
        <v>171</v>
      </c>
      <c r="D21" s="1" t="s">
        <v>10</v>
      </c>
      <c r="E21" s="3">
        <f t="shared" si="3"/>
        <v>323.98</v>
      </c>
    </row>
    <row r="22">
      <c r="A22" s="2"/>
      <c r="B22" s="1">
        <v>18.94</v>
      </c>
      <c r="C22" s="1" t="s">
        <v>152</v>
      </c>
      <c r="D22" s="1" t="s">
        <v>167</v>
      </c>
      <c r="E22" s="3">
        <f t="shared" si="3"/>
        <v>342.92</v>
      </c>
    </row>
    <row r="23">
      <c r="A23" s="2"/>
      <c r="B23" s="1">
        <v>16.1</v>
      </c>
      <c r="C23" s="1" t="s">
        <v>172</v>
      </c>
      <c r="D23" s="1" t="s">
        <v>161</v>
      </c>
      <c r="E23" s="3">
        <f t="shared" si="3"/>
        <v>359.02</v>
      </c>
    </row>
    <row r="24">
      <c r="A24" s="2">
        <v>46383.0</v>
      </c>
      <c r="B24" s="1">
        <v>25.49</v>
      </c>
      <c r="C24" s="1" t="s">
        <v>173</v>
      </c>
      <c r="D24" s="1" t="s">
        <v>157</v>
      </c>
      <c r="E24" s="3">
        <f t="shared" si="3"/>
        <v>384.51</v>
      </c>
    </row>
    <row r="25">
      <c r="A25" s="2"/>
      <c r="B25" s="1">
        <v>9.99</v>
      </c>
      <c r="C25" s="1" t="s">
        <v>166</v>
      </c>
      <c r="D25" s="1" t="s">
        <v>10</v>
      </c>
      <c r="E25" s="3">
        <f t="shared" si="3"/>
        <v>394.5</v>
      </c>
    </row>
    <row r="26">
      <c r="A26" s="2">
        <v>46384.0</v>
      </c>
      <c r="B26" s="1">
        <v>15.0</v>
      </c>
      <c r="C26" s="1" t="s">
        <v>174</v>
      </c>
      <c r="D26" s="1" t="s">
        <v>161</v>
      </c>
      <c r="E26" s="3">
        <f t="shared" si="3"/>
        <v>409.5</v>
      </c>
    </row>
    <row r="27">
      <c r="A27" s="2">
        <v>46366.0</v>
      </c>
      <c r="B27" s="1">
        <v>10.3</v>
      </c>
      <c r="C27" s="1" t="s">
        <v>68</v>
      </c>
      <c r="D27" s="1" t="s">
        <v>10</v>
      </c>
      <c r="E27" s="3">
        <f t="shared" si="3"/>
        <v>419.8</v>
      </c>
    </row>
    <row r="28">
      <c r="A28" s="2">
        <v>46373.0</v>
      </c>
      <c r="B28" s="1">
        <v>21.2</v>
      </c>
      <c r="C28" s="1" t="s">
        <v>175</v>
      </c>
      <c r="D28" s="1" t="s">
        <v>176</v>
      </c>
      <c r="E28" s="3">
        <f t="shared" si="3"/>
        <v>441</v>
      </c>
    </row>
    <row r="29">
      <c r="A29" s="2"/>
      <c r="D29" s="3"/>
    </row>
    <row r="30">
      <c r="A30" s="2"/>
      <c r="D30" s="3"/>
    </row>
    <row r="31">
      <c r="A31" s="2"/>
      <c r="D31" s="3"/>
    </row>
    <row r="32">
      <c r="A32" s="2"/>
      <c r="D32" s="3"/>
    </row>
    <row r="33">
      <c r="A33" s="2"/>
      <c r="D33" s="3"/>
    </row>
    <row r="34">
      <c r="A34" s="2"/>
      <c r="D34" s="3"/>
    </row>
    <row r="35">
      <c r="A35" s="2"/>
      <c r="D35" s="3"/>
    </row>
    <row r="36">
      <c r="A36" s="2"/>
      <c r="D36" s="3"/>
    </row>
    <row r="37">
      <c r="A37" s="2"/>
      <c r="D37" s="3"/>
    </row>
    <row r="38">
      <c r="D38" s="3"/>
    </row>
    <row r="39">
      <c r="A39" s="2"/>
      <c r="D39" s="3"/>
    </row>
    <row r="40">
      <c r="D40" s="3"/>
    </row>
    <row r="41">
      <c r="A41" s="2"/>
      <c r="D41" s="3"/>
    </row>
    <row r="42">
      <c r="A42" s="2"/>
      <c r="D42" s="3"/>
    </row>
    <row r="43">
      <c r="D43" s="3"/>
    </row>
    <row r="44">
      <c r="A44" s="2"/>
      <c r="D44" s="3"/>
    </row>
    <row r="45">
      <c r="A45" s="2"/>
      <c r="D45" s="3"/>
    </row>
    <row r="46">
      <c r="D46" s="3"/>
    </row>
    <row r="47">
      <c r="A47" s="2"/>
      <c r="D47" s="3"/>
    </row>
    <row r="48">
      <c r="A48" s="2"/>
      <c r="D48" s="3"/>
    </row>
    <row r="49">
      <c r="D49" s="3"/>
    </row>
    <row r="50">
      <c r="A50" s="2"/>
      <c r="D50" s="3"/>
    </row>
    <row r="51">
      <c r="A51" s="2"/>
      <c r="D51" s="3"/>
    </row>
    <row r="52">
      <c r="A52" s="2"/>
      <c r="D52" s="3"/>
    </row>
    <row r="53">
      <c r="D53" s="3"/>
    </row>
    <row r="54">
      <c r="D54" s="3"/>
    </row>
    <row r="55">
      <c r="A55" s="2"/>
      <c r="D55" s="3"/>
    </row>
    <row r="56">
      <c r="D56" s="3"/>
    </row>
    <row r="57">
      <c r="A57" s="2"/>
      <c r="D57" s="3"/>
    </row>
    <row r="58">
      <c r="D58" s="3"/>
    </row>
    <row r="59">
      <c r="D59" s="3"/>
    </row>
    <row r="60">
      <c r="A60" s="2"/>
      <c r="D60" s="3"/>
    </row>
    <row r="61">
      <c r="A61" s="2"/>
      <c r="D61" s="3"/>
    </row>
    <row r="62">
      <c r="A62" s="2"/>
      <c r="D62" s="3"/>
    </row>
    <row r="63">
      <c r="D63" s="3"/>
    </row>
    <row r="64">
      <c r="A64" s="2"/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  <row r="1002">
      <c r="D1002" s="3"/>
    </row>
    <row r="1003">
      <c r="D1003" s="3"/>
    </row>
  </sheetData>
  <dataValidations>
    <dataValidation type="list" allowBlank="1" showErrorMessage="1" sqref="D1:D1003">
      <formula1>"생필품,식재료,보조제,교통비,구독료,문건 인출비,사치품,외식,자기개발비,Essentials,Food,Supplements,Dining,Luxury,Transportation"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/>
      <c r="H1" s="1" t="s">
        <v>5</v>
      </c>
      <c r="I1" s="1" t="s">
        <v>6</v>
      </c>
      <c r="J1" s="1" t="s">
        <v>155</v>
      </c>
      <c r="K1" s="1" t="s">
        <v>8</v>
      </c>
      <c r="L1" s="9" t="s">
        <v>9</v>
      </c>
      <c r="M1" s="9"/>
      <c r="N1" s="9" t="s">
        <v>11</v>
      </c>
      <c r="O1" s="1" t="s">
        <v>119</v>
      </c>
    </row>
    <row r="2">
      <c r="A2" s="2">
        <v>46023.0</v>
      </c>
      <c r="B2" s="1">
        <v>68.35</v>
      </c>
      <c r="C2" s="1" t="s">
        <v>177</v>
      </c>
      <c r="D2" s="1" t="s">
        <v>10</v>
      </c>
      <c r="E2" s="1">
        <f>B2</f>
        <v>68.35</v>
      </c>
      <c r="G2" s="4"/>
      <c r="H2" s="4">
        <f>SUM(B:B)</f>
        <v>1288.7073</v>
      </c>
      <c r="I2" s="4">
        <f>sumif(D:D, "생필품", B:B)</f>
        <v>25.77</v>
      </c>
      <c r="J2" s="4">
        <f>sumif(D:D, "식재료", B:B)</f>
        <v>171.91</v>
      </c>
      <c r="K2" s="4">
        <f>sumif(D:D,"보조제",B:B)</f>
        <v>22.5</v>
      </c>
      <c r="L2" s="10">
        <f>sumif(D:D,"교통비",B:B)</f>
        <v>0</v>
      </c>
      <c r="M2" s="10">
        <f>sumif(D:D,"외식",B:B)</f>
        <v>0</v>
      </c>
      <c r="N2" s="10">
        <f>sumif(D:D,"사치품",B:B)</f>
        <v>0</v>
      </c>
      <c r="O2" s="4">
        <f>H2-sum(I2:N2)</f>
        <v>1068.5273</v>
      </c>
    </row>
    <row r="3">
      <c r="A3" s="2">
        <v>46024.0</v>
      </c>
      <c r="B3" s="1">
        <v>8.06</v>
      </c>
      <c r="C3" s="1" t="s">
        <v>68</v>
      </c>
      <c r="D3" s="1" t="s">
        <v>10</v>
      </c>
      <c r="E3" s="3">
        <f t="shared" ref="E3:E65" si="1">E2+B3</f>
        <v>76.41</v>
      </c>
      <c r="G3" s="1" t="s">
        <v>178</v>
      </c>
      <c r="H3" s="6">
        <f>((H2-Sheet4!H2)/Sheet4!H2)</f>
        <v>1.189482152</v>
      </c>
      <c r="I3" s="6">
        <f>((I2-Sheet4!I2)/Sheet4!I2)</f>
        <v>-0.8131119008</v>
      </c>
      <c r="J3" s="6">
        <f>((J2-Sheet4!J2)/Sheet4!J2)</f>
        <v>1.899966262</v>
      </c>
      <c r="K3" s="6">
        <f>((K2-Sheet4!K2)/Sheet4!K2)</f>
        <v>-0.2694805195</v>
      </c>
      <c r="L3" s="11">
        <f>((L2-Sheet4!L2)/Sheet4!L2)</f>
        <v>-1</v>
      </c>
      <c r="M3" s="11" t="str">
        <f>((M2-Sheet4!M2)/Sheet4!M2)</f>
        <v>#DIV/0!</v>
      </c>
      <c r="N3" s="11">
        <f>((N2-Sheet4!N2)/Sheet4!N2)</f>
        <v>-1</v>
      </c>
      <c r="O3" s="6">
        <f>((O2-Sheet4!O2)/Sheet4!O2)</f>
        <v>5.871558199</v>
      </c>
    </row>
    <row r="4">
      <c r="B4" s="1">
        <v>10.5</v>
      </c>
      <c r="C4" s="1" t="s">
        <v>113</v>
      </c>
      <c r="D4" s="1" t="s">
        <v>11</v>
      </c>
      <c r="E4" s="3">
        <f t="shared" si="1"/>
        <v>86.91</v>
      </c>
      <c r="L4" s="12"/>
      <c r="M4" s="12"/>
      <c r="N4" s="12"/>
    </row>
    <row r="5">
      <c r="B5" s="1">
        <v>12.9</v>
      </c>
      <c r="C5" s="1" t="s">
        <v>179</v>
      </c>
      <c r="D5" s="1" t="s">
        <v>10</v>
      </c>
      <c r="E5" s="3">
        <f t="shared" si="1"/>
        <v>99.81</v>
      </c>
      <c r="G5" s="1" t="s">
        <v>180</v>
      </c>
      <c r="H5" s="4">
        <f>(Sheet1!G2+Sheet2!H2+Sheet3!G2+Sheet4!H2)/4</f>
        <v>1468.27</v>
      </c>
      <c r="I5" s="4">
        <f>(Sheet1!H2+Sheet2!I2+Sheet3!H2+Sheet4!I2)/4</f>
        <v>311.31</v>
      </c>
      <c r="J5" s="4">
        <f>(Sheet1!I2+Sheet2!J2+Sheet3!I2+Sheet4!J2)/4</f>
        <v>161.815</v>
      </c>
      <c r="K5" s="3" t="str">
        <f>(Sheet1!J2+Sheet2!K2+#REF!+Sheet4!K2)/4</f>
        <v>#REF!</v>
      </c>
      <c r="L5" s="10">
        <f>(Sheet1!K2+Sheet2!L2+Sheet3!J2+Sheet4!L2)/4</f>
        <v>72.335</v>
      </c>
      <c r="M5" s="10">
        <f>(Sheet1!L2+Sheet2!M2+Sheet3!K2+Sheet4!M2)/4</f>
        <v>245.0725</v>
      </c>
      <c r="N5" s="10">
        <f>(Sheet1!M2+Sheet2!N2+Sheet3!L2+Sheet4!N2)/4</f>
        <v>336.745</v>
      </c>
      <c r="O5" s="4">
        <f>(Sheet1!N2+Sheet2!O2+Sheet3!M2+Sheet4!O2)/4</f>
        <v>301.185</v>
      </c>
    </row>
    <row r="6">
      <c r="B6" s="1">
        <v>37.09</v>
      </c>
      <c r="C6" s="1" t="s">
        <v>153</v>
      </c>
      <c r="D6" s="1" t="s">
        <v>10</v>
      </c>
      <c r="E6" s="3">
        <f t="shared" si="1"/>
        <v>136.9</v>
      </c>
      <c r="G6" s="1" t="s">
        <v>181</v>
      </c>
      <c r="H6" s="6">
        <f t="shared" ref="H6:O6" si="2">(H2-H5)/H5</f>
        <v>-0.1222954225</v>
      </c>
      <c r="I6" s="6">
        <f t="shared" si="2"/>
        <v>-0.9172207767</v>
      </c>
      <c r="J6" s="6">
        <f t="shared" si="2"/>
        <v>0.06238605815</v>
      </c>
      <c r="K6" s="6" t="str">
        <f t="shared" si="2"/>
        <v>#REF!</v>
      </c>
      <c r="L6" s="11">
        <f t="shared" si="2"/>
        <v>-1</v>
      </c>
      <c r="M6" s="11">
        <f t="shared" si="2"/>
        <v>-1</v>
      </c>
      <c r="N6" s="11">
        <f t="shared" si="2"/>
        <v>-1</v>
      </c>
      <c r="O6" s="6">
        <f t="shared" si="2"/>
        <v>2.547744078</v>
      </c>
    </row>
    <row r="7">
      <c r="A7" s="2">
        <v>46026.0</v>
      </c>
      <c r="B7" s="1">
        <f>46.1+37.71</f>
        <v>83.81</v>
      </c>
      <c r="C7" s="1" t="s">
        <v>182</v>
      </c>
      <c r="D7" s="1" t="s">
        <v>11</v>
      </c>
      <c r="E7" s="3">
        <f t="shared" si="1"/>
        <v>220.71</v>
      </c>
    </row>
    <row r="8">
      <c r="A8" s="2"/>
      <c r="B8" s="1">
        <v>57.19</v>
      </c>
      <c r="C8" s="1" t="s">
        <v>183</v>
      </c>
      <c r="D8" s="1" t="s">
        <v>10</v>
      </c>
      <c r="E8" s="3">
        <f t="shared" si="1"/>
        <v>277.9</v>
      </c>
      <c r="G8" s="1"/>
      <c r="H8" s="1" t="s">
        <v>184</v>
      </c>
      <c r="J8" s="1" t="s">
        <v>185</v>
      </c>
      <c r="K8" s="1" t="s">
        <v>83</v>
      </c>
      <c r="M8" s="1" t="s">
        <v>84</v>
      </c>
    </row>
    <row r="9">
      <c r="A9" s="2"/>
      <c r="B9" s="1">
        <v>41.1</v>
      </c>
      <c r="C9" s="1" t="s">
        <v>186</v>
      </c>
      <c r="D9" s="1" t="s">
        <v>10</v>
      </c>
      <c r="E9" s="3">
        <f t="shared" si="1"/>
        <v>319</v>
      </c>
      <c r="H9" s="4">
        <f>SUM(J2,K2,M2)</f>
        <v>194.41</v>
      </c>
      <c r="J9" s="4">
        <f>H9/31</f>
        <v>6.271290323</v>
      </c>
      <c r="K9" s="4">
        <f>J9/2.5</f>
        <v>2.508516129</v>
      </c>
      <c r="M9" s="7">
        <f>M2/J2</f>
        <v>0</v>
      </c>
    </row>
    <row r="10" ht="16.5" customHeight="1">
      <c r="A10" s="2"/>
      <c r="B10" s="1">
        <v>22.5</v>
      </c>
      <c r="C10" s="1" t="s">
        <v>187</v>
      </c>
      <c r="D10" s="1" t="s">
        <v>163</v>
      </c>
      <c r="E10" s="3">
        <f t="shared" si="1"/>
        <v>341.5</v>
      </c>
      <c r="G10" s="1" t="s">
        <v>188</v>
      </c>
      <c r="H10" s="6">
        <f>(H9 - Sheet4!H9) / Sheet4!H9</f>
        <v>1.158192718</v>
      </c>
      <c r="J10" s="6" t="str">
        <f>(J9 - #REF!) / #REF!</f>
        <v>#REF!</v>
      </c>
      <c r="K10" s="6">
        <f>(K9 - Sheet3!J6) / Sheet3!J6</f>
        <v>-0.6752982126</v>
      </c>
    </row>
    <row r="11">
      <c r="A11" s="2"/>
      <c r="B11" s="1">
        <v>139.99</v>
      </c>
      <c r="C11" s="1" t="s">
        <v>189</v>
      </c>
      <c r="D11" s="1" t="s">
        <v>159</v>
      </c>
      <c r="E11" s="3">
        <f t="shared" si="1"/>
        <v>481.49</v>
      </c>
      <c r="G11" s="1" t="s">
        <v>190</v>
      </c>
      <c r="H11" s="4">
        <f>(Sheet1!G6+Sheet2!H6+Sheet3!H6+Sheet4!H9)/4</f>
        <v>484.6025</v>
      </c>
      <c r="J11" s="3" t="str">
        <f>(Sheet1!I6+Sheet2!I6+#REF!+Sheet4!J9)/4</f>
        <v>#REF!</v>
      </c>
      <c r="K11" s="3" t="str">
        <f>J11/2.5</f>
        <v>#REF!</v>
      </c>
    </row>
    <row r="12">
      <c r="A12" s="2">
        <v>46029.0</v>
      </c>
      <c r="B12" s="1">
        <v>11.12</v>
      </c>
      <c r="C12" s="1" t="s">
        <v>191</v>
      </c>
      <c r="D12" s="1" t="s">
        <v>159</v>
      </c>
      <c r="E12" s="3">
        <f t="shared" si="1"/>
        <v>492.61</v>
      </c>
      <c r="G12" s="1" t="s">
        <v>192</v>
      </c>
      <c r="H12" s="6">
        <f>(H9-H11)/H11</f>
        <v>-0.5988258418</v>
      </c>
      <c r="I12" s="6"/>
      <c r="J12" s="6" t="str">
        <f t="shared" ref="J12:K12" si="3">(J9-J11)/J11</f>
        <v>#REF!</v>
      </c>
      <c r="K12" s="6" t="str">
        <f t="shared" si="3"/>
        <v>#REF!</v>
      </c>
    </row>
    <row r="13">
      <c r="B13" s="1">
        <v>9.28</v>
      </c>
      <c r="C13" s="1" t="s">
        <v>193</v>
      </c>
      <c r="D13" s="1" t="s">
        <v>159</v>
      </c>
      <c r="E13" s="3">
        <f t="shared" si="1"/>
        <v>501.89</v>
      </c>
      <c r="J13" s="1" t="s">
        <v>194</v>
      </c>
      <c r="K13" s="1" t="s">
        <v>195</v>
      </c>
      <c r="M13" s="1" t="s">
        <v>196</v>
      </c>
    </row>
    <row r="14">
      <c r="A14" s="2"/>
      <c r="B14" s="1">
        <v>5.76</v>
      </c>
      <c r="C14" s="1" t="s">
        <v>197</v>
      </c>
      <c r="D14" s="1" t="s">
        <v>159</v>
      </c>
      <c r="E14" s="3">
        <f t="shared" si="1"/>
        <v>507.65</v>
      </c>
      <c r="J14" s="1">
        <v>15.0</v>
      </c>
      <c r="K14" s="3">
        <f>J14/2.5</f>
        <v>6</v>
      </c>
      <c r="M14" s="1" t="s">
        <v>198</v>
      </c>
    </row>
    <row r="15">
      <c r="A15" s="2"/>
      <c r="B15" s="1">
        <v>17.0</v>
      </c>
      <c r="C15" s="1" t="s">
        <v>199</v>
      </c>
      <c r="D15" s="1" t="s">
        <v>10</v>
      </c>
      <c r="E15" s="3">
        <f t="shared" si="1"/>
        <v>524.65</v>
      </c>
    </row>
    <row r="16">
      <c r="A16" s="2">
        <v>46030.0</v>
      </c>
      <c r="B16" s="1">
        <v>5.76</v>
      </c>
      <c r="C16" s="1" t="s">
        <v>200</v>
      </c>
      <c r="D16" s="1" t="s">
        <v>159</v>
      </c>
      <c r="E16" s="3">
        <f t="shared" si="1"/>
        <v>530.41</v>
      </c>
      <c r="H16" s="1" t="s">
        <v>201</v>
      </c>
      <c r="I16" s="1" t="s">
        <v>202</v>
      </c>
      <c r="J16" s="1" t="s">
        <v>203</v>
      </c>
    </row>
    <row r="17">
      <c r="A17" s="2"/>
      <c r="B17" s="1">
        <v>5.0</v>
      </c>
      <c r="C17" s="1" t="s">
        <v>37</v>
      </c>
      <c r="D17" s="1" t="s">
        <v>157</v>
      </c>
      <c r="E17" s="3">
        <f t="shared" si="1"/>
        <v>535.41</v>
      </c>
      <c r="H17" s="13">
        <f>6360.67+449.07</f>
        <v>6809.74</v>
      </c>
      <c r="I17" s="3">
        <f>H17/H5</f>
        <v>4.63793444</v>
      </c>
      <c r="J17" s="14">
        <f>TODAY()+I20</f>
        <v>46222.457</v>
      </c>
    </row>
    <row r="18">
      <c r="A18" s="2">
        <v>46036.0</v>
      </c>
      <c r="B18" s="1">
        <v>7.53</v>
      </c>
      <c r="C18" s="1" t="s">
        <v>121</v>
      </c>
      <c r="D18" s="1" t="s">
        <v>10</v>
      </c>
      <c r="E18" s="3">
        <f t="shared" si="1"/>
        <v>542.94</v>
      </c>
    </row>
    <row r="19">
      <c r="A19" s="2">
        <v>46039.0</v>
      </c>
      <c r="B19" s="3">
        <f>(44.95+41.95+21.95)*1.1*1.18</f>
        <v>141.2873</v>
      </c>
      <c r="C19" s="1" t="s">
        <v>204</v>
      </c>
      <c r="D19" s="1" t="s">
        <v>10</v>
      </c>
      <c r="E19" s="3">
        <f t="shared" si="1"/>
        <v>684.2273</v>
      </c>
      <c r="I19" s="1" t="s">
        <v>205</v>
      </c>
    </row>
    <row r="20">
      <c r="A20" s="2"/>
      <c r="B20" s="3">
        <f>55</f>
        <v>55</v>
      </c>
      <c r="C20" s="1" t="s">
        <v>206</v>
      </c>
      <c r="D20" s="1" t="s">
        <v>11</v>
      </c>
      <c r="E20" s="3">
        <f t="shared" si="1"/>
        <v>739.2273</v>
      </c>
      <c r="I20" s="3">
        <f>I17*30.5</f>
        <v>141.4570004</v>
      </c>
    </row>
    <row r="21">
      <c r="A21" s="2">
        <v>46040.0</v>
      </c>
      <c r="B21" s="1">
        <v>6.0</v>
      </c>
      <c r="C21" s="1" t="s">
        <v>207</v>
      </c>
      <c r="D21" s="1" t="s">
        <v>9</v>
      </c>
      <c r="E21" s="3">
        <f t="shared" si="1"/>
        <v>745.2273</v>
      </c>
    </row>
    <row r="22">
      <c r="B22" s="1">
        <v>5.25</v>
      </c>
      <c r="C22" s="1" t="s">
        <v>37</v>
      </c>
      <c r="D22" s="1" t="s">
        <v>6</v>
      </c>
      <c r="E22" s="3">
        <f t="shared" si="1"/>
        <v>750.4773</v>
      </c>
    </row>
    <row r="23">
      <c r="A23" s="2"/>
      <c r="B23" s="3">
        <f>880/2</f>
        <v>440</v>
      </c>
      <c r="C23" s="1" t="s">
        <v>208</v>
      </c>
      <c r="D23" s="1" t="s">
        <v>11</v>
      </c>
      <c r="E23" s="3">
        <f t="shared" si="1"/>
        <v>1190.4773</v>
      </c>
    </row>
    <row r="24">
      <c r="A24" s="2"/>
      <c r="B24" s="1">
        <v>30.0</v>
      </c>
      <c r="C24" s="1" t="s">
        <v>209</v>
      </c>
      <c r="D24" s="1" t="s">
        <v>10</v>
      </c>
      <c r="E24" s="3">
        <f t="shared" si="1"/>
        <v>1220.4773</v>
      </c>
    </row>
    <row r="25">
      <c r="A25" s="2">
        <v>46041.0</v>
      </c>
      <c r="B25" s="1">
        <v>20.0</v>
      </c>
      <c r="C25" s="1" t="s">
        <v>113</v>
      </c>
      <c r="D25" s="1" t="s">
        <v>11</v>
      </c>
      <c r="E25" s="3">
        <f t="shared" si="1"/>
        <v>1240.4773</v>
      </c>
    </row>
    <row r="26">
      <c r="A26" s="2"/>
      <c r="B26" s="1">
        <v>20.77</v>
      </c>
      <c r="C26" s="1" t="s">
        <v>210</v>
      </c>
      <c r="D26" s="1" t="s">
        <v>157</v>
      </c>
      <c r="E26" s="3">
        <f t="shared" si="1"/>
        <v>1261.2473</v>
      </c>
    </row>
    <row r="27">
      <c r="B27" s="1">
        <v>5.93</v>
      </c>
      <c r="C27" s="1" t="s">
        <v>111</v>
      </c>
      <c r="D27" s="1" t="s">
        <v>176</v>
      </c>
      <c r="E27" s="3">
        <f t="shared" si="1"/>
        <v>1267.1773</v>
      </c>
    </row>
    <row r="28">
      <c r="A28" s="2">
        <v>46043.0</v>
      </c>
      <c r="B28" s="15">
        <v>9.69</v>
      </c>
      <c r="C28" s="16" t="s">
        <v>211</v>
      </c>
      <c r="D28" s="1" t="s">
        <v>10</v>
      </c>
      <c r="E28" s="3">
        <f t="shared" si="1"/>
        <v>1276.8673</v>
      </c>
    </row>
    <row r="29">
      <c r="A29" s="2">
        <v>46044.0</v>
      </c>
      <c r="B29" s="15">
        <v>11.84</v>
      </c>
      <c r="C29" s="16" t="s">
        <v>212</v>
      </c>
      <c r="D29" s="1" t="s">
        <v>10</v>
      </c>
      <c r="E29" s="3">
        <f t="shared" si="1"/>
        <v>1288.7073</v>
      </c>
    </row>
    <row r="30">
      <c r="A30" s="2"/>
      <c r="D30" s="1" t="s">
        <v>157</v>
      </c>
      <c r="E30" s="3">
        <f t="shared" si="1"/>
        <v>1288.7073</v>
      </c>
    </row>
    <row r="31">
      <c r="A31" s="2"/>
      <c r="D31" s="1" t="s">
        <v>167</v>
      </c>
      <c r="E31" s="3">
        <f t="shared" si="1"/>
        <v>1288.7073</v>
      </c>
    </row>
    <row r="32">
      <c r="A32" s="2"/>
      <c r="D32" s="1" t="s">
        <v>167</v>
      </c>
      <c r="E32" s="3">
        <f t="shared" si="1"/>
        <v>1288.7073</v>
      </c>
    </row>
    <row r="33">
      <c r="A33" s="2"/>
      <c r="D33" s="1" t="s">
        <v>157</v>
      </c>
      <c r="E33" s="3">
        <f t="shared" si="1"/>
        <v>1288.7073</v>
      </c>
    </row>
    <row r="34">
      <c r="A34" s="2"/>
      <c r="D34" s="1" t="s">
        <v>157</v>
      </c>
      <c r="E34" s="3">
        <f t="shared" si="1"/>
        <v>1288.7073</v>
      </c>
    </row>
    <row r="35">
      <c r="A35" s="2"/>
      <c r="D35" s="1" t="s">
        <v>10</v>
      </c>
      <c r="E35" s="3">
        <f t="shared" si="1"/>
        <v>1288.7073</v>
      </c>
    </row>
    <row r="36">
      <c r="A36" s="2"/>
      <c r="D36" s="1" t="s">
        <v>10</v>
      </c>
      <c r="E36" s="3">
        <f t="shared" si="1"/>
        <v>1288.7073</v>
      </c>
    </row>
    <row r="37">
      <c r="A37" s="2"/>
      <c r="D37" s="1" t="s">
        <v>157</v>
      </c>
      <c r="E37" s="3">
        <f t="shared" si="1"/>
        <v>1288.7073</v>
      </c>
    </row>
    <row r="38">
      <c r="A38" s="2"/>
      <c r="D38" s="1" t="s">
        <v>10</v>
      </c>
      <c r="E38" s="3">
        <f t="shared" si="1"/>
        <v>1288.7073</v>
      </c>
    </row>
    <row r="39">
      <c r="D39" s="1" t="s">
        <v>159</v>
      </c>
      <c r="E39" s="3">
        <f t="shared" si="1"/>
        <v>1288.7073</v>
      </c>
    </row>
    <row r="40">
      <c r="A40" s="2"/>
      <c r="D40" s="1" t="s">
        <v>163</v>
      </c>
      <c r="E40" s="3">
        <f t="shared" si="1"/>
        <v>1288.7073</v>
      </c>
    </row>
    <row r="41">
      <c r="D41" s="1" t="s">
        <v>157</v>
      </c>
      <c r="E41" s="3">
        <f t="shared" si="1"/>
        <v>1288.7073</v>
      </c>
    </row>
    <row r="42">
      <c r="A42" s="2"/>
      <c r="D42" s="1" t="s">
        <v>157</v>
      </c>
      <c r="E42" s="3">
        <f t="shared" si="1"/>
        <v>1288.7073</v>
      </c>
    </row>
    <row r="43">
      <c r="A43" s="2"/>
      <c r="D43" s="1" t="s">
        <v>157</v>
      </c>
      <c r="E43" s="3">
        <f t="shared" si="1"/>
        <v>1288.7073</v>
      </c>
    </row>
    <row r="44">
      <c r="D44" s="1" t="s">
        <v>10</v>
      </c>
      <c r="E44" s="3">
        <f t="shared" si="1"/>
        <v>1288.7073</v>
      </c>
    </row>
    <row r="45">
      <c r="A45" s="2"/>
      <c r="D45" s="1" t="s">
        <v>163</v>
      </c>
      <c r="E45" s="3">
        <f t="shared" si="1"/>
        <v>1288.7073</v>
      </c>
    </row>
    <row r="46">
      <c r="A46" s="2"/>
      <c r="D46" s="1" t="s">
        <v>163</v>
      </c>
      <c r="E46" s="3">
        <f t="shared" si="1"/>
        <v>1288.7073</v>
      </c>
    </row>
    <row r="47">
      <c r="D47" s="1" t="s">
        <v>10</v>
      </c>
      <c r="E47" s="3">
        <f t="shared" si="1"/>
        <v>1288.7073</v>
      </c>
    </row>
    <row r="48">
      <c r="A48" s="2"/>
      <c r="D48" s="1" t="s">
        <v>10</v>
      </c>
      <c r="E48" s="3">
        <f t="shared" si="1"/>
        <v>1288.7073</v>
      </c>
    </row>
    <row r="49">
      <c r="A49" s="2"/>
      <c r="D49" s="1" t="s">
        <v>163</v>
      </c>
      <c r="E49" s="3">
        <f t="shared" si="1"/>
        <v>1288.7073</v>
      </c>
    </row>
    <row r="50">
      <c r="D50" s="1" t="s">
        <v>161</v>
      </c>
      <c r="E50" s="3">
        <f t="shared" si="1"/>
        <v>1288.7073</v>
      </c>
    </row>
    <row r="51">
      <c r="A51" s="2"/>
      <c r="D51" s="1" t="s">
        <v>157</v>
      </c>
      <c r="E51" s="3">
        <f t="shared" si="1"/>
        <v>1288.7073</v>
      </c>
    </row>
    <row r="52">
      <c r="A52" s="2"/>
      <c r="D52" s="1" t="s">
        <v>10</v>
      </c>
      <c r="E52" s="3">
        <f t="shared" si="1"/>
        <v>1288.7073</v>
      </c>
    </row>
    <row r="53">
      <c r="A53" s="2"/>
      <c r="D53" s="1" t="s">
        <v>10</v>
      </c>
      <c r="E53" s="3">
        <f t="shared" si="1"/>
        <v>1288.7073</v>
      </c>
    </row>
    <row r="54">
      <c r="D54" s="1" t="s">
        <v>10</v>
      </c>
      <c r="E54" s="3">
        <f t="shared" si="1"/>
        <v>1288.7073</v>
      </c>
    </row>
    <row r="55">
      <c r="D55" s="1" t="s">
        <v>10</v>
      </c>
      <c r="E55" s="3">
        <f t="shared" si="1"/>
        <v>1288.7073</v>
      </c>
    </row>
    <row r="56">
      <c r="A56" s="2"/>
      <c r="D56" s="1" t="s">
        <v>10</v>
      </c>
      <c r="E56" s="3">
        <f t="shared" si="1"/>
        <v>1288.7073</v>
      </c>
    </row>
    <row r="57">
      <c r="D57" s="1" t="s">
        <v>161</v>
      </c>
      <c r="E57" s="3">
        <f t="shared" si="1"/>
        <v>1288.7073</v>
      </c>
    </row>
    <row r="58">
      <c r="A58" s="2"/>
      <c r="D58" s="1" t="s">
        <v>157</v>
      </c>
      <c r="E58" s="3">
        <f t="shared" si="1"/>
        <v>1288.7073</v>
      </c>
    </row>
    <row r="59">
      <c r="D59" s="1" t="s">
        <v>167</v>
      </c>
      <c r="E59" s="3">
        <f t="shared" si="1"/>
        <v>1288.7073</v>
      </c>
    </row>
    <row r="60">
      <c r="D60" s="1" t="s">
        <v>159</v>
      </c>
      <c r="E60" s="3">
        <f t="shared" si="1"/>
        <v>1288.7073</v>
      </c>
    </row>
    <row r="61">
      <c r="A61" s="2"/>
      <c r="D61" s="1" t="s">
        <v>161</v>
      </c>
      <c r="E61" s="3">
        <f t="shared" si="1"/>
        <v>1288.7073</v>
      </c>
    </row>
    <row r="62">
      <c r="A62" s="2"/>
      <c r="D62" s="1" t="s">
        <v>10</v>
      </c>
      <c r="E62" s="3">
        <f t="shared" si="1"/>
        <v>1288.7073</v>
      </c>
    </row>
    <row r="63">
      <c r="A63" s="2"/>
      <c r="D63" s="1" t="s">
        <v>10</v>
      </c>
      <c r="E63" s="3">
        <f t="shared" si="1"/>
        <v>1288.7073</v>
      </c>
    </row>
    <row r="64">
      <c r="D64" s="1" t="s">
        <v>10</v>
      </c>
      <c r="E64" s="3">
        <f t="shared" si="1"/>
        <v>1288.7073</v>
      </c>
    </row>
    <row r="65">
      <c r="A65" s="2"/>
      <c r="D65" s="1" t="s">
        <v>163</v>
      </c>
      <c r="E65" s="3">
        <f t="shared" si="1"/>
        <v>1288.7073</v>
      </c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  <row r="1002">
      <c r="D1002" s="3"/>
    </row>
    <row r="1003">
      <c r="D1003" s="3"/>
    </row>
    <row r="1004">
      <c r="D1004" s="3"/>
    </row>
  </sheetData>
  <dataValidations>
    <dataValidation type="list" allowBlank="1" showErrorMessage="1" sqref="D1:D1004">
      <formula1>"생필품,식재료,보조제,교통비,구독료,문건 인출비,사치품,외식,자기개발비,Essentials,Food,Supplements,Dining,Luxury,Transportation"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</cols>
  <sheetData>
    <row r="1">
      <c r="D1" s="3"/>
    </row>
    <row r="2">
      <c r="A2" s="2"/>
      <c r="B2" s="15"/>
      <c r="C2" s="16"/>
      <c r="D2" s="16"/>
      <c r="H2" s="4"/>
      <c r="I2" s="4"/>
      <c r="J2" s="4"/>
      <c r="K2" s="4"/>
      <c r="L2" s="4"/>
      <c r="M2" s="4"/>
      <c r="N2" s="4"/>
      <c r="O2" s="4"/>
      <c r="P2" s="4"/>
    </row>
    <row r="3">
      <c r="A3" s="2"/>
      <c r="D3" s="3"/>
      <c r="I3" s="6"/>
      <c r="J3" s="6"/>
      <c r="K3" s="6"/>
      <c r="L3" s="6"/>
      <c r="M3" s="6"/>
      <c r="N3" s="6"/>
      <c r="O3" s="6"/>
      <c r="P3" s="6"/>
    </row>
    <row r="4">
      <c r="D4" s="3"/>
    </row>
    <row r="5">
      <c r="D5" s="3"/>
    </row>
    <row r="6">
      <c r="D6" s="3"/>
      <c r="I6" s="6"/>
      <c r="J6" s="6"/>
      <c r="K6" s="6"/>
      <c r="L6" s="6"/>
      <c r="M6" s="6"/>
      <c r="N6" s="6"/>
      <c r="O6" s="6"/>
    </row>
    <row r="7">
      <c r="A7" s="2"/>
      <c r="D7" s="3"/>
    </row>
    <row r="8">
      <c r="A8" s="2"/>
      <c r="D8" s="3"/>
    </row>
    <row r="9">
      <c r="A9" s="2"/>
      <c r="D9" s="3"/>
      <c r="N9" s="7"/>
    </row>
    <row r="10" ht="16.5" customHeight="1">
      <c r="A10" s="2"/>
      <c r="D10" s="3"/>
      <c r="H10" s="6"/>
      <c r="I10" s="6"/>
      <c r="K10" s="6"/>
      <c r="L10" s="6"/>
    </row>
    <row r="11">
      <c r="A11" s="2"/>
      <c r="D11" s="3"/>
    </row>
    <row r="12">
      <c r="A12" s="2"/>
      <c r="D12" s="3"/>
    </row>
    <row r="13">
      <c r="D13" s="3"/>
    </row>
    <row r="14">
      <c r="A14" s="2"/>
      <c r="D14" s="3"/>
    </row>
    <row r="15">
      <c r="A15" s="2"/>
      <c r="D15" s="3"/>
    </row>
    <row r="16">
      <c r="A16" s="2"/>
      <c r="D16" s="3"/>
    </row>
    <row r="17">
      <c r="A17" s="2"/>
      <c r="D17" s="3"/>
    </row>
    <row r="18">
      <c r="A18" s="2"/>
      <c r="D18" s="3"/>
    </row>
    <row r="19">
      <c r="A19" s="2"/>
      <c r="D19" s="3"/>
    </row>
    <row r="20">
      <c r="A20" s="2"/>
      <c r="D20" s="3"/>
    </row>
    <row r="21">
      <c r="D21" s="3"/>
    </row>
    <row r="22">
      <c r="A22" s="2"/>
      <c r="D22" s="3"/>
    </row>
    <row r="23">
      <c r="A23" s="2"/>
      <c r="D23" s="3"/>
    </row>
    <row r="24">
      <c r="A24" s="2"/>
      <c r="D24" s="3"/>
    </row>
    <row r="25">
      <c r="A25" s="2"/>
      <c r="D25" s="3"/>
    </row>
    <row r="26">
      <c r="D26" s="3"/>
    </row>
    <row r="27">
      <c r="A27" s="2"/>
      <c r="D27" s="3"/>
    </row>
    <row r="28">
      <c r="A28" s="2"/>
      <c r="D28" s="3"/>
    </row>
    <row r="29">
      <c r="A29" s="2"/>
      <c r="D29" s="3"/>
    </row>
    <row r="30">
      <c r="A30" s="2"/>
      <c r="D30" s="3"/>
    </row>
    <row r="31">
      <c r="A31" s="2"/>
      <c r="D31" s="3"/>
    </row>
    <row r="32">
      <c r="A32" s="2"/>
      <c r="D32" s="3"/>
    </row>
    <row r="33">
      <c r="A33" s="2"/>
      <c r="D33" s="3"/>
    </row>
    <row r="34">
      <c r="A34" s="2"/>
      <c r="D34" s="3"/>
    </row>
    <row r="35">
      <c r="A35" s="2"/>
      <c r="D35" s="3"/>
    </row>
    <row r="36">
      <c r="A36" s="2"/>
      <c r="D36" s="3"/>
    </row>
    <row r="37">
      <c r="A37" s="2"/>
      <c r="D37" s="3"/>
    </row>
    <row r="38">
      <c r="D38" s="3"/>
    </row>
    <row r="39">
      <c r="A39" s="2"/>
      <c r="D39" s="3"/>
    </row>
    <row r="40">
      <c r="D40" s="3"/>
    </row>
    <row r="41">
      <c r="A41" s="2"/>
      <c r="D41" s="3"/>
    </row>
    <row r="42">
      <c r="A42" s="2"/>
      <c r="D42" s="3"/>
    </row>
    <row r="43">
      <c r="D43" s="3"/>
    </row>
    <row r="44">
      <c r="A44" s="2"/>
      <c r="D44" s="3"/>
    </row>
    <row r="45">
      <c r="A45" s="2"/>
      <c r="D45" s="3"/>
    </row>
    <row r="46">
      <c r="D46" s="3"/>
    </row>
    <row r="47">
      <c r="A47" s="2"/>
      <c r="D47" s="3"/>
    </row>
    <row r="48">
      <c r="A48" s="2"/>
      <c r="D48" s="3"/>
    </row>
    <row r="49">
      <c r="D49" s="3"/>
    </row>
    <row r="50">
      <c r="A50" s="2"/>
      <c r="D50" s="3"/>
    </row>
    <row r="51">
      <c r="A51" s="2"/>
      <c r="D51" s="3"/>
    </row>
    <row r="52">
      <c r="A52" s="2"/>
      <c r="D52" s="3"/>
    </row>
    <row r="53">
      <c r="D53" s="3"/>
    </row>
    <row r="54">
      <c r="D54" s="3"/>
    </row>
    <row r="55">
      <c r="A55" s="2"/>
      <c r="D55" s="3"/>
    </row>
    <row r="56">
      <c r="D56" s="3"/>
    </row>
    <row r="57">
      <c r="A57" s="2"/>
      <c r="D57" s="3"/>
    </row>
    <row r="58">
      <c r="D58" s="3"/>
    </row>
    <row r="59">
      <c r="D59" s="3"/>
    </row>
    <row r="60">
      <c r="A60" s="2"/>
      <c r="D60" s="3"/>
    </row>
    <row r="61">
      <c r="A61" s="2"/>
      <c r="D61" s="3"/>
    </row>
    <row r="62">
      <c r="A62" s="2"/>
      <c r="D62" s="3"/>
    </row>
    <row r="63">
      <c r="D63" s="3"/>
    </row>
    <row r="64">
      <c r="A64" s="2"/>
      <c r="D64" s="3"/>
    </row>
    <row r="65">
      <c r="D65" s="3"/>
    </row>
    <row r="66">
      <c r="D66" s="3"/>
    </row>
    <row r="67">
      <c r="D67" s="3"/>
    </row>
    <row r="68">
      <c r="D68" s="3"/>
    </row>
    <row r="69">
      <c r="D69" s="3"/>
    </row>
    <row r="70">
      <c r="D70" s="3"/>
    </row>
    <row r="71">
      <c r="D71" s="3"/>
    </row>
    <row r="72">
      <c r="D72" s="3"/>
    </row>
    <row r="73">
      <c r="D73" s="3"/>
    </row>
    <row r="74">
      <c r="D74" s="3"/>
    </row>
    <row r="75">
      <c r="D75" s="3"/>
    </row>
    <row r="76">
      <c r="D76" s="3"/>
    </row>
    <row r="77">
      <c r="D77" s="3"/>
    </row>
    <row r="78">
      <c r="D78" s="3"/>
    </row>
    <row r="79">
      <c r="D79" s="3"/>
    </row>
    <row r="80">
      <c r="D80" s="3"/>
    </row>
    <row r="81">
      <c r="D81" s="3"/>
    </row>
    <row r="82">
      <c r="D82" s="3"/>
    </row>
    <row r="83">
      <c r="D83" s="3"/>
    </row>
    <row r="84">
      <c r="D84" s="3"/>
    </row>
    <row r="85">
      <c r="D85" s="3"/>
    </row>
    <row r="86">
      <c r="D86" s="3"/>
    </row>
    <row r="87">
      <c r="D87" s="3"/>
    </row>
    <row r="88">
      <c r="D88" s="3"/>
    </row>
    <row r="89">
      <c r="D89" s="3"/>
    </row>
    <row r="90">
      <c r="D90" s="3"/>
    </row>
    <row r="91">
      <c r="D91" s="3"/>
    </row>
    <row r="92">
      <c r="D92" s="3"/>
    </row>
    <row r="93">
      <c r="D93" s="3"/>
    </row>
    <row r="94">
      <c r="D94" s="3"/>
    </row>
    <row r="95">
      <c r="D95" s="3"/>
    </row>
    <row r="96">
      <c r="D96" s="3"/>
    </row>
    <row r="97">
      <c r="D97" s="3"/>
    </row>
    <row r="98">
      <c r="D98" s="3"/>
    </row>
    <row r="99">
      <c r="D99" s="3"/>
    </row>
    <row r="100">
      <c r="D100" s="3"/>
    </row>
    <row r="101">
      <c r="D101" s="3"/>
    </row>
    <row r="102">
      <c r="D102" s="3"/>
    </row>
    <row r="103">
      <c r="D103" s="3"/>
    </row>
    <row r="104">
      <c r="D104" s="3"/>
    </row>
    <row r="105">
      <c r="D105" s="3"/>
    </row>
    <row r="106">
      <c r="D106" s="3"/>
    </row>
    <row r="107">
      <c r="D107" s="3"/>
    </row>
    <row r="108">
      <c r="D108" s="3"/>
    </row>
    <row r="109">
      <c r="D109" s="3"/>
    </row>
    <row r="110">
      <c r="D110" s="3"/>
    </row>
    <row r="111">
      <c r="D111" s="3"/>
    </row>
    <row r="112">
      <c r="D112" s="3"/>
    </row>
    <row r="113">
      <c r="D113" s="3"/>
    </row>
    <row r="114">
      <c r="D114" s="3"/>
    </row>
    <row r="115">
      <c r="D115" s="3"/>
    </row>
    <row r="116">
      <c r="D116" s="3"/>
    </row>
    <row r="117">
      <c r="D117" s="3"/>
    </row>
    <row r="118">
      <c r="D118" s="3"/>
    </row>
    <row r="119">
      <c r="D119" s="3"/>
    </row>
    <row r="120">
      <c r="D120" s="3"/>
    </row>
    <row r="121">
      <c r="D121" s="3"/>
    </row>
    <row r="122">
      <c r="D122" s="3"/>
    </row>
    <row r="123">
      <c r="D123" s="3"/>
    </row>
    <row r="124">
      <c r="D124" s="3"/>
    </row>
    <row r="125">
      <c r="D125" s="3"/>
    </row>
    <row r="126">
      <c r="D126" s="3"/>
    </row>
    <row r="127">
      <c r="D127" s="3"/>
    </row>
    <row r="128">
      <c r="D128" s="3"/>
    </row>
    <row r="129">
      <c r="D129" s="3"/>
    </row>
    <row r="130">
      <c r="D130" s="3"/>
    </row>
    <row r="131">
      <c r="D131" s="3"/>
    </row>
    <row r="132">
      <c r="D132" s="3"/>
    </row>
    <row r="133">
      <c r="D133" s="3"/>
    </row>
    <row r="134">
      <c r="D134" s="3"/>
    </row>
    <row r="135">
      <c r="D135" s="3"/>
    </row>
    <row r="136">
      <c r="D136" s="3"/>
    </row>
    <row r="137">
      <c r="D137" s="3"/>
    </row>
    <row r="138">
      <c r="D138" s="3"/>
    </row>
    <row r="139">
      <c r="D139" s="3"/>
    </row>
    <row r="140">
      <c r="D140" s="3"/>
    </row>
    <row r="141">
      <c r="D141" s="3"/>
    </row>
    <row r="142">
      <c r="D142" s="3"/>
    </row>
    <row r="143">
      <c r="D143" s="3"/>
    </row>
    <row r="144">
      <c r="D144" s="3"/>
    </row>
    <row r="145">
      <c r="D145" s="3"/>
    </row>
    <row r="146">
      <c r="D146" s="3"/>
    </row>
    <row r="147">
      <c r="D147" s="3"/>
    </row>
    <row r="148">
      <c r="D148" s="3"/>
    </row>
    <row r="149">
      <c r="D149" s="3"/>
    </row>
    <row r="150">
      <c r="D150" s="3"/>
    </row>
    <row r="151">
      <c r="D151" s="3"/>
    </row>
    <row r="152">
      <c r="D152" s="3"/>
    </row>
    <row r="153">
      <c r="D153" s="3"/>
    </row>
    <row r="154">
      <c r="D154" s="3"/>
    </row>
    <row r="155">
      <c r="D155" s="3"/>
    </row>
    <row r="156">
      <c r="D156" s="3"/>
    </row>
    <row r="157">
      <c r="D157" s="3"/>
    </row>
    <row r="158">
      <c r="D158" s="3"/>
    </row>
    <row r="159">
      <c r="D159" s="3"/>
    </row>
    <row r="160">
      <c r="D160" s="3"/>
    </row>
    <row r="161">
      <c r="D161" s="3"/>
    </row>
    <row r="162">
      <c r="D162" s="3"/>
    </row>
    <row r="163">
      <c r="D163" s="3"/>
    </row>
    <row r="164">
      <c r="D164" s="3"/>
    </row>
    <row r="165">
      <c r="D165" s="3"/>
    </row>
    <row r="166">
      <c r="D166" s="3"/>
    </row>
    <row r="167">
      <c r="D167" s="3"/>
    </row>
    <row r="168">
      <c r="D168" s="3"/>
    </row>
    <row r="169">
      <c r="D169" s="3"/>
    </row>
    <row r="170">
      <c r="D170" s="3"/>
    </row>
    <row r="171">
      <c r="D171" s="3"/>
    </row>
    <row r="172">
      <c r="D172" s="3"/>
    </row>
    <row r="173">
      <c r="D173" s="3"/>
    </row>
    <row r="174">
      <c r="D174" s="3"/>
    </row>
    <row r="175">
      <c r="D175" s="3"/>
    </row>
    <row r="176">
      <c r="D176" s="3"/>
    </row>
    <row r="177">
      <c r="D177" s="3"/>
    </row>
    <row r="178">
      <c r="D178" s="3"/>
    </row>
    <row r="179">
      <c r="D179" s="3"/>
    </row>
    <row r="180">
      <c r="D180" s="3"/>
    </row>
    <row r="181">
      <c r="D181" s="3"/>
    </row>
    <row r="182">
      <c r="D182" s="3"/>
    </row>
    <row r="183">
      <c r="D183" s="3"/>
    </row>
    <row r="184">
      <c r="D184" s="3"/>
    </row>
    <row r="185">
      <c r="D185" s="3"/>
    </row>
    <row r="186">
      <c r="D186" s="3"/>
    </row>
    <row r="187">
      <c r="D187" s="3"/>
    </row>
    <row r="188">
      <c r="D188" s="3"/>
    </row>
    <row r="189">
      <c r="D189" s="3"/>
    </row>
    <row r="190">
      <c r="D190" s="3"/>
    </row>
    <row r="191">
      <c r="D191" s="3"/>
    </row>
    <row r="192">
      <c r="D192" s="3"/>
    </row>
    <row r="193">
      <c r="D193" s="3"/>
    </row>
    <row r="194">
      <c r="D194" s="3"/>
    </row>
    <row r="195">
      <c r="D195" s="3"/>
    </row>
    <row r="196">
      <c r="D196" s="3"/>
    </row>
    <row r="197">
      <c r="D197" s="3"/>
    </row>
    <row r="198">
      <c r="D198" s="3"/>
    </row>
    <row r="199">
      <c r="D199" s="3"/>
    </row>
    <row r="200">
      <c r="D200" s="3"/>
    </row>
    <row r="201">
      <c r="D201" s="3"/>
    </row>
    <row r="202">
      <c r="D202" s="3"/>
    </row>
    <row r="203">
      <c r="D203" s="3"/>
    </row>
    <row r="204">
      <c r="D204" s="3"/>
    </row>
    <row r="205">
      <c r="D205" s="3"/>
    </row>
    <row r="206">
      <c r="D206" s="3"/>
    </row>
    <row r="207">
      <c r="D207" s="3"/>
    </row>
    <row r="208">
      <c r="D208" s="3"/>
    </row>
    <row r="209">
      <c r="D209" s="3"/>
    </row>
    <row r="210">
      <c r="D210" s="3"/>
    </row>
    <row r="211">
      <c r="D211" s="3"/>
    </row>
    <row r="212">
      <c r="D212" s="3"/>
    </row>
    <row r="213">
      <c r="D213" s="3"/>
    </row>
    <row r="214">
      <c r="D214" s="3"/>
    </row>
    <row r="215">
      <c r="D215" s="3"/>
    </row>
    <row r="216">
      <c r="D216" s="3"/>
    </row>
    <row r="217">
      <c r="D217" s="3"/>
    </row>
    <row r="218">
      <c r="D218" s="3"/>
    </row>
    <row r="219">
      <c r="D219" s="3"/>
    </row>
    <row r="220">
      <c r="D220" s="3"/>
    </row>
    <row r="221">
      <c r="D221" s="3"/>
    </row>
    <row r="222">
      <c r="D222" s="3"/>
    </row>
    <row r="223">
      <c r="D223" s="3"/>
    </row>
    <row r="224">
      <c r="D224" s="3"/>
    </row>
    <row r="225">
      <c r="D225" s="3"/>
    </row>
    <row r="226">
      <c r="D226" s="3"/>
    </row>
    <row r="227">
      <c r="D227" s="3"/>
    </row>
    <row r="228">
      <c r="D228" s="3"/>
    </row>
    <row r="229">
      <c r="D229" s="3"/>
    </row>
    <row r="230">
      <c r="D230" s="3"/>
    </row>
    <row r="231">
      <c r="D231" s="3"/>
    </row>
    <row r="232">
      <c r="D232" s="3"/>
    </row>
    <row r="233">
      <c r="D233" s="3"/>
    </row>
    <row r="234">
      <c r="D234" s="3"/>
    </row>
    <row r="235">
      <c r="D235" s="3"/>
    </row>
    <row r="236">
      <c r="D236" s="3"/>
    </row>
    <row r="237">
      <c r="D237" s="3"/>
    </row>
    <row r="238">
      <c r="D238" s="3"/>
    </row>
    <row r="239">
      <c r="D239" s="3"/>
    </row>
    <row r="240">
      <c r="D240" s="3"/>
    </row>
    <row r="241">
      <c r="D241" s="3"/>
    </row>
    <row r="242">
      <c r="D242" s="3"/>
    </row>
    <row r="243">
      <c r="D243" s="3"/>
    </row>
    <row r="244">
      <c r="D244" s="3"/>
    </row>
    <row r="245">
      <c r="D245" s="3"/>
    </row>
    <row r="246">
      <c r="D246" s="3"/>
    </row>
    <row r="247">
      <c r="D247" s="3"/>
    </row>
    <row r="248">
      <c r="D248" s="3"/>
    </row>
    <row r="249">
      <c r="D249" s="3"/>
    </row>
    <row r="250">
      <c r="D250" s="3"/>
    </row>
    <row r="251">
      <c r="D251" s="3"/>
    </row>
    <row r="252">
      <c r="D252" s="3"/>
    </row>
    <row r="253">
      <c r="D253" s="3"/>
    </row>
    <row r="254">
      <c r="D254" s="3"/>
    </row>
    <row r="255">
      <c r="D255" s="3"/>
    </row>
    <row r="256">
      <c r="D256" s="3"/>
    </row>
    <row r="257">
      <c r="D257" s="3"/>
    </row>
    <row r="258">
      <c r="D258" s="3"/>
    </row>
    <row r="259">
      <c r="D259" s="3"/>
    </row>
    <row r="260">
      <c r="D260" s="3"/>
    </row>
    <row r="261">
      <c r="D261" s="3"/>
    </row>
    <row r="262">
      <c r="D262" s="3"/>
    </row>
    <row r="263">
      <c r="D263" s="3"/>
    </row>
    <row r="264">
      <c r="D264" s="3"/>
    </row>
    <row r="265">
      <c r="D265" s="3"/>
    </row>
    <row r="266">
      <c r="D266" s="3"/>
    </row>
    <row r="267">
      <c r="D267" s="3"/>
    </row>
    <row r="268">
      <c r="D268" s="3"/>
    </row>
    <row r="269">
      <c r="D269" s="3"/>
    </row>
    <row r="270">
      <c r="D270" s="3"/>
    </row>
    <row r="271">
      <c r="D271" s="3"/>
    </row>
    <row r="272">
      <c r="D272" s="3"/>
    </row>
    <row r="273">
      <c r="D273" s="3"/>
    </row>
    <row r="274">
      <c r="D274" s="3"/>
    </row>
    <row r="275">
      <c r="D275" s="3"/>
    </row>
    <row r="276">
      <c r="D276" s="3"/>
    </row>
    <row r="277">
      <c r="D277" s="3"/>
    </row>
    <row r="278">
      <c r="D278" s="3"/>
    </row>
    <row r="279">
      <c r="D279" s="3"/>
    </row>
    <row r="280">
      <c r="D280" s="3"/>
    </row>
    <row r="281">
      <c r="D281" s="3"/>
    </row>
    <row r="282">
      <c r="D282" s="3"/>
    </row>
    <row r="283">
      <c r="D283" s="3"/>
    </row>
    <row r="284">
      <c r="D284" s="3"/>
    </row>
    <row r="285">
      <c r="D285" s="3"/>
    </row>
    <row r="286">
      <c r="D286" s="3"/>
    </row>
    <row r="287">
      <c r="D287" s="3"/>
    </row>
    <row r="288">
      <c r="D288" s="3"/>
    </row>
    <row r="289">
      <c r="D289" s="3"/>
    </row>
    <row r="290">
      <c r="D290" s="3"/>
    </row>
    <row r="291">
      <c r="D291" s="3"/>
    </row>
    <row r="292">
      <c r="D292" s="3"/>
    </row>
    <row r="293">
      <c r="D293" s="3"/>
    </row>
    <row r="294">
      <c r="D294" s="3"/>
    </row>
    <row r="295">
      <c r="D295" s="3"/>
    </row>
    <row r="296">
      <c r="D296" s="3"/>
    </row>
    <row r="297">
      <c r="D297" s="3"/>
    </row>
    <row r="298">
      <c r="D298" s="3"/>
    </row>
    <row r="299">
      <c r="D299" s="3"/>
    </row>
    <row r="300">
      <c r="D300" s="3"/>
    </row>
    <row r="301">
      <c r="D301" s="3"/>
    </row>
    <row r="302">
      <c r="D302" s="3"/>
    </row>
    <row r="303">
      <c r="D303" s="3"/>
    </row>
    <row r="304">
      <c r="D304" s="3"/>
    </row>
    <row r="305">
      <c r="D305" s="3"/>
    </row>
    <row r="306">
      <c r="D306" s="3"/>
    </row>
    <row r="307">
      <c r="D307" s="3"/>
    </row>
    <row r="308">
      <c r="D308" s="3"/>
    </row>
    <row r="309">
      <c r="D309" s="3"/>
    </row>
    <row r="310">
      <c r="D310" s="3"/>
    </row>
    <row r="311">
      <c r="D311" s="3"/>
    </row>
    <row r="312">
      <c r="D312" s="3"/>
    </row>
    <row r="313">
      <c r="D313" s="3"/>
    </row>
    <row r="314">
      <c r="D314" s="3"/>
    </row>
    <row r="315">
      <c r="D315" s="3"/>
    </row>
    <row r="316">
      <c r="D316" s="3"/>
    </row>
    <row r="317">
      <c r="D317" s="3"/>
    </row>
    <row r="318">
      <c r="D318" s="3"/>
    </row>
    <row r="319">
      <c r="D319" s="3"/>
    </row>
    <row r="320">
      <c r="D320" s="3"/>
    </row>
    <row r="321">
      <c r="D321" s="3"/>
    </row>
    <row r="322">
      <c r="D322" s="3"/>
    </row>
    <row r="323">
      <c r="D323" s="3"/>
    </row>
    <row r="324">
      <c r="D324" s="3"/>
    </row>
    <row r="325">
      <c r="D325" s="3"/>
    </row>
    <row r="326">
      <c r="D326" s="3"/>
    </row>
    <row r="327">
      <c r="D327" s="3"/>
    </row>
    <row r="328">
      <c r="D328" s="3"/>
    </row>
    <row r="329">
      <c r="D329" s="3"/>
    </row>
    <row r="330">
      <c r="D330" s="3"/>
    </row>
    <row r="331">
      <c r="D331" s="3"/>
    </row>
    <row r="332">
      <c r="D332" s="3"/>
    </row>
    <row r="333">
      <c r="D333" s="3"/>
    </row>
    <row r="334">
      <c r="D334" s="3"/>
    </row>
    <row r="335">
      <c r="D335" s="3"/>
    </row>
    <row r="336">
      <c r="D336" s="3"/>
    </row>
    <row r="337">
      <c r="D337" s="3"/>
    </row>
    <row r="338">
      <c r="D338" s="3"/>
    </row>
    <row r="339">
      <c r="D339" s="3"/>
    </row>
    <row r="340">
      <c r="D340" s="3"/>
    </row>
    <row r="341">
      <c r="D341" s="3"/>
    </row>
    <row r="342">
      <c r="D342" s="3"/>
    </row>
    <row r="343">
      <c r="D343" s="3"/>
    </row>
    <row r="344">
      <c r="D344" s="3"/>
    </row>
    <row r="345">
      <c r="D345" s="3"/>
    </row>
    <row r="346">
      <c r="D346" s="3"/>
    </row>
    <row r="347">
      <c r="D347" s="3"/>
    </row>
    <row r="348">
      <c r="D348" s="3"/>
    </row>
    <row r="349">
      <c r="D349" s="3"/>
    </row>
    <row r="350">
      <c r="D350" s="3"/>
    </row>
    <row r="351">
      <c r="D351" s="3"/>
    </row>
    <row r="352">
      <c r="D352" s="3"/>
    </row>
    <row r="353">
      <c r="D353" s="3"/>
    </row>
    <row r="354">
      <c r="D354" s="3"/>
    </row>
    <row r="355">
      <c r="D355" s="3"/>
    </row>
    <row r="356">
      <c r="D356" s="3"/>
    </row>
    <row r="357">
      <c r="D357" s="3"/>
    </row>
    <row r="358">
      <c r="D358" s="3"/>
    </row>
    <row r="359">
      <c r="D359" s="3"/>
    </row>
    <row r="360">
      <c r="D360" s="3"/>
    </row>
    <row r="361">
      <c r="D361" s="3"/>
    </row>
    <row r="362">
      <c r="D362" s="3"/>
    </row>
    <row r="363">
      <c r="D363" s="3"/>
    </row>
    <row r="364">
      <c r="D364" s="3"/>
    </row>
    <row r="365">
      <c r="D365" s="3"/>
    </row>
    <row r="366">
      <c r="D366" s="3"/>
    </row>
    <row r="367">
      <c r="D367" s="3"/>
    </row>
    <row r="368">
      <c r="D368" s="3"/>
    </row>
    <row r="369">
      <c r="D369" s="3"/>
    </row>
    <row r="370">
      <c r="D370" s="3"/>
    </row>
    <row r="371">
      <c r="D371" s="3"/>
    </row>
    <row r="372">
      <c r="D372" s="3"/>
    </row>
    <row r="373">
      <c r="D373" s="3"/>
    </row>
    <row r="374">
      <c r="D374" s="3"/>
    </row>
    <row r="375">
      <c r="D375" s="3"/>
    </row>
    <row r="376">
      <c r="D376" s="3"/>
    </row>
    <row r="377">
      <c r="D377" s="3"/>
    </row>
    <row r="378">
      <c r="D378" s="3"/>
    </row>
    <row r="379">
      <c r="D379" s="3"/>
    </row>
    <row r="380">
      <c r="D380" s="3"/>
    </row>
    <row r="381">
      <c r="D381" s="3"/>
    </row>
    <row r="382">
      <c r="D382" s="3"/>
    </row>
    <row r="383">
      <c r="D383" s="3"/>
    </row>
    <row r="384">
      <c r="D384" s="3"/>
    </row>
    <row r="385">
      <c r="D385" s="3"/>
    </row>
    <row r="386">
      <c r="D386" s="3"/>
    </row>
    <row r="387">
      <c r="D387" s="3"/>
    </row>
    <row r="388">
      <c r="D388" s="3"/>
    </row>
    <row r="389">
      <c r="D389" s="3"/>
    </row>
    <row r="390">
      <c r="D390" s="3"/>
    </row>
    <row r="391">
      <c r="D391" s="3"/>
    </row>
    <row r="392">
      <c r="D392" s="3"/>
    </row>
    <row r="393">
      <c r="D393" s="3"/>
    </row>
    <row r="394">
      <c r="D394" s="3"/>
    </row>
    <row r="395">
      <c r="D395" s="3"/>
    </row>
    <row r="396">
      <c r="D396" s="3"/>
    </row>
    <row r="397">
      <c r="D397" s="3"/>
    </row>
    <row r="398">
      <c r="D398" s="3"/>
    </row>
    <row r="399">
      <c r="D399" s="3"/>
    </row>
    <row r="400">
      <c r="D400" s="3"/>
    </row>
    <row r="401">
      <c r="D401" s="3"/>
    </row>
    <row r="402">
      <c r="D402" s="3"/>
    </row>
    <row r="403">
      <c r="D403" s="3"/>
    </row>
    <row r="404">
      <c r="D404" s="3"/>
    </row>
    <row r="405">
      <c r="D405" s="3"/>
    </row>
    <row r="406">
      <c r="D406" s="3"/>
    </row>
    <row r="407">
      <c r="D407" s="3"/>
    </row>
    <row r="408">
      <c r="D408" s="3"/>
    </row>
    <row r="409">
      <c r="D409" s="3"/>
    </row>
    <row r="410">
      <c r="D410" s="3"/>
    </row>
    <row r="411">
      <c r="D411" s="3"/>
    </row>
    <row r="412">
      <c r="D412" s="3"/>
    </row>
    <row r="413">
      <c r="D413" s="3"/>
    </row>
    <row r="414">
      <c r="D414" s="3"/>
    </row>
    <row r="415">
      <c r="D415" s="3"/>
    </row>
    <row r="416">
      <c r="D416" s="3"/>
    </row>
    <row r="417">
      <c r="D417" s="3"/>
    </row>
    <row r="418">
      <c r="D418" s="3"/>
    </row>
    <row r="419">
      <c r="D419" s="3"/>
    </row>
    <row r="420">
      <c r="D420" s="3"/>
    </row>
    <row r="421">
      <c r="D421" s="3"/>
    </row>
    <row r="422">
      <c r="D422" s="3"/>
    </row>
    <row r="423">
      <c r="D423" s="3"/>
    </row>
    <row r="424">
      <c r="D424" s="3"/>
    </row>
    <row r="425">
      <c r="D425" s="3"/>
    </row>
    <row r="426">
      <c r="D426" s="3"/>
    </row>
    <row r="427">
      <c r="D427" s="3"/>
    </row>
    <row r="428">
      <c r="D428" s="3"/>
    </row>
    <row r="429">
      <c r="D429" s="3"/>
    </row>
    <row r="430">
      <c r="D430" s="3"/>
    </row>
    <row r="431">
      <c r="D431" s="3"/>
    </row>
    <row r="432">
      <c r="D432" s="3"/>
    </row>
    <row r="433">
      <c r="D433" s="3"/>
    </row>
    <row r="434">
      <c r="D434" s="3"/>
    </row>
    <row r="435">
      <c r="D435" s="3"/>
    </row>
    <row r="436">
      <c r="D436" s="3"/>
    </row>
    <row r="437">
      <c r="D437" s="3"/>
    </row>
    <row r="438">
      <c r="D438" s="3"/>
    </row>
    <row r="439">
      <c r="D439" s="3"/>
    </row>
    <row r="440">
      <c r="D440" s="3"/>
    </row>
    <row r="441">
      <c r="D441" s="3"/>
    </row>
    <row r="442">
      <c r="D442" s="3"/>
    </row>
    <row r="443">
      <c r="D443" s="3"/>
    </row>
    <row r="444">
      <c r="D444" s="3"/>
    </row>
    <row r="445">
      <c r="D445" s="3"/>
    </row>
    <row r="446">
      <c r="D446" s="3"/>
    </row>
    <row r="447">
      <c r="D447" s="3"/>
    </row>
    <row r="448">
      <c r="D448" s="3"/>
    </row>
    <row r="449">
      <c r="D449" s="3"/>
    </row>
    <row r="450">
      <c r="D450" s="3"/>
    </row>
    <row r="451">
      <c r="D451" s="3"/>
    </row>
    <row r="452">
      <c r="D452" s="3"/>
    </row>
    <row r="453">
      <c r="D453" s="3"/>
    </row>
    <row r="454">
      <c r="D454" s="3"/>
    </row>
    <row r="455">
      <c r="D455" s="3"/>
    </row>
    <row r="456">
      <c r="D456" s="3"/>
    </row>
    <row r="457">
      <c r="D457" s="3"/>
    </row>
    <row r="458">
      <c r="D458" s="3"/>
    </row>
    <row r="459">
      <c r="D459" s="3"/>
    </row>
    <row r="460">
      <c r="D460" s="3"/>
    </row>
    <row r="461">
      <c r="D461" s="3"/>
    </row>
    <row r="462">
      <c r="D462" s="3"/>
    </row>
    <row r="463">
      <c r="D463" s="3"/>
    </row>
    <row r="464">
      <c r="D464" s="3"/>
    </row>
    <row r="465">
      <c r="D465" s="3"/>
    </row>
    <row r="466">
      <c r="D466" s="3"/>
    </row>
    <row r="467">
      <c r="D467" s="3"/>
    </row>
    <row r="468">
      <c r="D468" s="3"/>
    </row>
    <row r="469">
      <c r="D469" s="3"/>
    </row>
    <row r="470">
      <c r="D470" s="3"/>
    </row>
    <row r="471">
      <c r="D471" s="3"/>
    </row>
    <row r="472">
      <c r="D472" s="3"/>
    </row>
    <row r="473">
      <c r="D473" s="3"/>
    </row>
    <row r="474">
      <c r="D474" s="3"/>
    </row>
    <row r="475">
      <c r="D475" s="3"/>
    </row>
    <row r="476">
      <c r="D476" s="3"/>
    </row>
    <row r="477">
      <c r="D477" s="3"/>
    </row>
    <row r="478">
      <c r="D478" s="3"/>
    </row>
    <row r="479">
      <c r="D479" s="3"/>
    </row>
    <row r="480">
      <c r="D480" s="3"/>
    </row>
    <row r="481">
      <c r="D481" s="3"/>
    </row>
    <row r="482">
      <c r="D482" s="3"/>
    </row>
    <row r="483">
      <c r="D483" s="3"/>
    </row>
    <row r="484">
      <c r="D484" s="3"/>
    </row>
    <row r="485">
      <c r="D485" s="3"/>
    </row>
    <row r="486">
      <c r="D486" s="3"/>
    </row>
    <row r="487">
      <c r="D487" s="3"/>
    </row>
    <row r="488">
      <c r="D488" s="3"/>
    </row>
    <row r="489">
      <c r="D489" s="3"/>
    </row>
    <row r="490">
      <c r="D490" s="3"/>
    </row>
    <row r="491">
      <c r="D491" s="3"/>
    </row>
    <row r="492">
      <c r="D492" s="3"/>
    </row>
    <row r="493">
      <c r="D493" s="3"/>
    </row>
    <row r="494">
      <c r="D494" s="3"/>
    </row>
    <row r="495">
      <c r="D495" s="3"/>
    </row>
    <row r="496">
      <c r="D496" s="3"/>
    </row>
    <row r="497">
      <c r="D497" s="3"/>
    </row>
    <row r="498">
      <c r="D498" s="3"/>
    </row>
    <row r="499">
      <c r="D499" s="3"/>
    </row>
    <row r="500">
      <c r="D500" s="3"/>
    </row>
    <row r="501">
      <c r="D501" s="3"/>
    </row>
    <row r="502">
      <c r="D502" s="3"/>
    </row>
    <row r="503">
      <c r="D503" s="3"/>
    </row>
    <row r="504">
      <c r="D504" s="3"/>
    </row>
    <row r="505">
      <c r="D505" s="3"/>
    </row>
    <row r="506">
      <c r="D506" s="3"/>
    </row>
    <row r="507">
      <c r="D507" s="3"/>
    </row>
    <row r="508">
      <c r="D508" s="3"/>
    </row>
    <row r="509">
      <c r="D509" s="3"/>
    </row>
    <row r="510">
      <c r="D510" s="3"/>
    </row>
    <row r="511">
      <c r="D511" s="3"/>
    </row>
    <row r="512">
      <c r="D512" s="3"/>
    </row>
    <row r="513">
      <c r="D513" s="3"/>
    </row>
    <row r="514">
      <c r="D514" s="3"/>
    </row>
    <row r="515">
      <c r="D515" s="3"/>
    </row>
    <row r="516">
      <c r="D516" s="3"/>
    </row>
    <row r="517">
      <c r="D517" s="3"/>
    </row>
    <row r="518">
      <c r="D518" s="3"/>
    </row>
    <row r="519">
      <c r="D519" s="3"/>
    </row>
    <row r="520">
      <c r="D520" s="3"/>
    </row>
    <row r="521">
      <c r="D521" s="3"/>
    </row>
    <row r="522">
      <c r="D522" s="3"/>
    </row>
    <row r="523">
      <c r="D523" s="3"/>
    </row>
    <row r="524">
      <c r="D524" s="3"/>
    </row>
    <row r="525">
      <c r="D525" s="3"/>
    </row>
    <row r="526">
      <c r="D526" s="3"/>
    </row>
    <row r="527">
      <c r="D527" s="3"/>
    </row>
    <row r="528">
      <c r="D528" s="3"/>
    </row>
    <row r="529">
      <c r="D529" s="3"/>
    </row>
    <row r="530">
      <c r="D530" s="3"/>
    </row>
    <row r="531">
      <c r="D531" s="3"/>
    </row>
    <row r="532">
      <c r="D532" s="3"/>
    </row>
    <row r="533">
      <c r="D533" s="3"/>
    </row>
    <row r="534">
      <c r="D534" s="3"/>
    </row>
    <row r="535">
      <c r="D535" s="3"/>
    </row>
    <row r="536">
      <c r="D536" s="3"/>
    </row>
    <row r="537">
      <c r="D537" s="3"/>
    </row>
    <row r="538">
      <c r="D538" s="3"/>
    </row>
    <row r="539">
      <c r="D539" s="3"/>
    </row>
    <row r="540">
      <c r="D540" s="3"/>
    </row>
    <row r="541">
      <c r="D541" s="3"/>
    </row>
    <row r="542">
      <c r="D542" s="3"/>
    </row>
    <row r="543">
      <c r="D543" s="3"/>
    </row>
    <row r="544">
      <c r="D544" s="3"/>
    </row>
    <row r="545">
      <c r="D545" s="3"/>
    </row>
    <row r="546">
      <c r="D546" s="3"/>
    </row>
    <row r="547">
      <c r="D547" s="3"/>
    </row>
    <row r="548">
      <c r="D548" s="3"/>
    </row>
    <row r="549">
      <c r="D549" s="3"/>
    </row>
    <row r="550">
      <c r="D550" s="3"/>
    </row>
    <row r="551">
      <c r="D551" s="3"/>
    </row>
    <row r="552">
      <c r="D552" s="3"/>
    </row>
    <row r="553">
      <c r="D553" s="3"/>
    </row>
    <row r="554">
      <c r="D554" s="3"/>
    </row>
    <row r="555">
      <c r="D555" s="3"/>
    </row>
    <row r="556">
      <c r="D556" s="3"/>
    </row>
    <row r="557">
      <c r="D557" s="3"/>
    </row>
    <row r="558">
      <c r="D558" s="3"/>
    </row>
    <row r="559">
      <c r="D559" s="3"/>
    </row>
    <row r="560">
      <c r="D560" s="3"/>
    </row>
    <row r="561">
      <c r="D561" s="3"/>
    </row>
    <row r="562">
      <c r="D562" s="3"/>
    </row>
    <row r="563">
      <c r="D563" s="3"/>
    </row>
    <row r="564">
      <c r="D564" s="3"/>
    </row>
    <row r="565">
      <c r="D565" s="3"/>
    </row>
    <row r="566">
      <c r="D566" s="3"/>
    </row>
    <row r="567">
      <c r="D567" s="3"/>
    </row>
    <row r="568">
      <c r="D568" s="3"/>
    </row>
    <row r="569">
      <c r="D569" s="3"/>
    </row>
    <row r="570">
      <c r="D570" s="3"/>
    </row>
    <row r="571">
      <c r="D571" s="3"/>
    </row>
    <row r="572">
      <c r="D572" s="3"/>
    </row>
    <row r="573">
      <c r="D573" s="3"/>
    </row>
    <row r="574">
      <c r="D574" s="3"/>
    </row>
    <row r="575">
      <c r="D575" s="3"/>
    </row>
    <row r="576">
      <c r="D576" s="3"/>
    </row>
    <row r="577">
      <c r="D577" s="3"/>
    </row>
    <row r="578">
      <c r="D578" s="3"/>
    </row>
    <row r="579">
      <c r="D579" s="3"/>
    </row>
    <row r="580">
      <c r="D580" s="3"/>
    </row>
    <row r="581">
      <c r="D581" s="3"/>
    </row>
    <row r="582">
      <c r="D582" s="3"/>
    </row>
    <row r="583">
      <c r="D583" s="3"/>
    </row>
    <row r="584">
      <c r="D584" s="3"/>
    </row>
    <row r="585">
      <c r="D585" s="3"/>
    </row>
    <row r="586">
      <c r="D586" s="3"/>
    </row>
    <row r="587">
      <c r="D587" s="3"/>
    </row>
    <row r="588">
      <c r="D588" s="3"/>
    </row>
    <row r="589">
      <c r="D589" s="3"/>
    </row>
    <row r="590">
      <c r="D590" s="3"/>
    </row>
    <row r="591">
      <c r="D591" s="3"/>
    </row>
    <row r="592">
      <c r="D592" s="3"/>
    </row>
    <row r="593">
      <c r="D593" s="3"/>
    </row>
    <row r="594">
      <c r="D594" s="3"/>
    </row>
    <row r="595">
      <c r="D595" s="3"/>
    </row>
    <row r="596">
      <c r="D596" s="3"/>
    </row>
    <row r="597">
      <c r="D597" s="3"/>
    </row>
    <row r="598">
      <c r="D598" s="3"/>
    </row>
    <row r="599">
      <c r="D599" s="3"/>
    </row>
    <row r="600">
      <c r="D600" s="3"/>
    </row>
    <row r="601">
      <c r="D601" s="3"/>
    </row>
    <row r="602">
      <c r="D602" s="3"/>
    </row>
    <row r="603">
      <c r="D603" s="3"/>
    </row>
    <row r="604">
      <c r="D604" s="3"/>
    </row>
    <row r="605">
      <c r="D605" s="3"/>
    </row>
    <row r="606">
      <c r="D606" s="3"/>
    </row>
    <row r="607">
      <c r="D607" s="3"/>
    </row>
    <row r="608">
      <c r="D608" s="3"/>
    </row>
    <row r="609">
      <c r="D609" s="3"/>
    </row>
    <row r="610">
      <c r="D610" s="3"/>
    </row>
    <row r="611">
      <c r="D611" s="3"/>
    </row>
    <row r="612">
      <c r="D612" s="3"/>
    </row>
    <row r="613">
      <c r="D613" s="3"/>
    </row>
    <row r="614">
      <c r="D614" s="3"/>
    </row>
    <row r="615">
      <c r="D615" s="3"/>
    </row>
    <row r="616">
      <c r="D616" s="3"/>
    </row>
    <row r="617">
      <c r="D617" s="3"/>
    </row>
    <row r="618">
      <c r="D618" s="3"/>
    </row>
    <row r="619">
      <c r="D619" s="3"/>
    </row>
    <row r="620">
      <c r="D620" s="3"/>
    </row>
    <row r="621">
      <c r="D621" s="3"/>
    </row>
    <row r="622">
      <c r="D622" s="3"/>
    </row>
    <row r="623">
      <c r="D623" s="3"/>
    </row>
    <row r="624">
      <c r="D624" s="3"/>
    </row>
    <row r="625">
      <c r="D625" s="3"/>
    </row>
    <row r="626">
      <c r="D626" s="3"/>
    </row>
    <row r="627">
      <c r="D627" s="3"/>
    </row>
    <row r="628">
      <c r="D628" s="3"/>
    </row>
    <row r="629">
      <c r="D629" s="3"/>
    </row>
    <row r="630">
      <c r="D630" s="3"/>
    </row>
    <row r="631">
      <c r="D631" s="3"/>
    </row>
    <row r="632">
      <c r="D632" s="3"/>
    </row>
    <row r="633">
      <c r="D633" s="3"/>
    </row>
    <row r="634">
      <c r="D634" s="3"/>
    </row>
    <row r="635">
      <c r="D635" s="3"/>
    </row>
    <row r="636">
      <c r="D636" s="3"/>
    </row>
    <row r="637">
      <c r="D637" s="3"/>
    </row>
    <row r="638">
      <c r="D638" s="3"/>
    </row>
    <row r="639">
      <c r="D639" s="3"/>
    </row>
    <row r="640">
      <c r="D640" s="3"/>
    </row>
    <row r="641">
      <c r="D641" s="3"/>
    </row>
    <row r="642">
      <c r="D642" s="3"/>
    </row>
    <row r="643">
      <c r="D643" s="3"/>
    </row>
    <row r="644">
      <c r="D644" s="3"/>
    </row>
    <row r="645">
      <c r="D645" s="3"/>
    </row>
    <row r="646">
      <c r="D646" s="3"/>
    </row>
    <row r="647">
      <c r="D647" s="3"/>
    </row>
    <row r="648">
      <c r="D648" s="3"/>
    </row>
    <row r="649">
      <c r="D649" s="3"/>
    </row>
    <row r="650">
      <c r="D650" s="3"/>
    </row>
    <row r="651">
      <c r="D651" s="3"/>
    </row>
    <row r="652">
      <c r="D652" s="3"/>
    </row>
    <row r="653">
      <c r="D653" s="3"/>
    </row>
    <row r="654">
      <c r="D654" s="3"/>
    </row>
    <row r="655">
      <c r="D655" s="3"/>
    </row>
    <row r="656">
      <c r="D656" s="3"/>
    </row>
    <row r="657">
      <c r="D657" s="3"/>
    </row>
    <row r="658">
      <c r="D658" s="3"/>
    </row>
    <row r="659">
      <c r="D659" s="3"/>
    </row>
    <row r="660">
      <c r="D660" s="3"/>
    </row>
    <row r="661">
      <c r="D661" s="3"/>
    </row>
    <row r="662">
      <c r="D662" s="3"/>
    </row>
    <row r="663">
      <c r="D663" s="3"/>
    </row>
    <row r="664">
      <c r="D664" s="3"/>
    </row>
    <row r="665">
      <c r="D665" s="3"/>
    </row>
    <row r="666">
      <c r="D666" s="3"/>
    </row>
    <row r="667">
      <c r="D667" s="3"/>
    </row>
    <row r="668">
      <c r="D668" s="3"/>
    </row>
    <row r="669">
      <c r="D669" s="3"/>
    </row>
    <row r="670">
      <c r="D670" s="3"/>
    </row>
    <row r="671">
      <c r="D671" s="3"/>
    </row>
    <row r="672">
      <c r="D672" s="3"/>
    </row>
    <row r="673">
      <c r="D673" s="3"/>
    </row>
    <row r="674">
      <c r="D674" s="3"/>
    </row>
    <row r="675">
      <c r="D675" s="3"/>
    </row>
    <row r="676">
      <c r="D676" s="3"/>
    </row>
    <row r="677">
      <c r="D677" s="3"/>
    </row>
    <row r="678">
      <c r="D678" s="3"/>
    </row>
    <row r="679">
      <c r="D679" s="3"/>
    </row>
    <row r="680">
      <c r="D680" s="3"/>
    </row>
    <row r="681">
      <c r="D681" s="3"/>
    </row>
    <row r="682">
      <c r="D682" s="3"/>
    </row>
    <row r="683">
      <c r="D683" s="3"/>
    </row>
    <row r="684">
      <c r="D684" s="3"/>
    </row>
    <row r="685">
      <c r="D685" s="3"/>
    </row>
    <row r="686">
      <c r="D686" s="3"/>
    </row>
    <row r="687">
      <c r="D687" s="3"/>
    </row>
    <row r="688">
      <c r="D688" s="3"/>
    </row>
    <row r="689">
      <c r="D689" s="3"/>
    </row>
    <row r="690">
      <c r="D690" s="3"/>
    </row>
    <row r="691">
      <c r="D691" s="3"/>
    </row>
    <row r="692">
      <c r="D692" s="3"/>
    </row>
    <row r="693">
      <c r="D693" s="3"/>
    </row>
    <row r="694">
      <c r="D694" s="3"/>
    </row>
    <row r="695">
      <c r="D695" s="3"/>
    </row>
    <row r="696">
      <c r="D696" s="3"/>
    </row>
    <row r="697">
      <c r="D697" s="3"/>
    </row>
    <row r="698">
      <c r="D698" s="3"/>
    </row>
    <row r="699">
      <c r="D699" s="3"/>
    </row>
    <row r="700">
      <c r="D700" s="3"/>
    </row>
    <row r="701">
      <c r="D701" s="3"/>
    </row>
    <row r="702">
      <c r="D702" s="3"/>
    </row>
    <row r="703">
      <c r="D703" s="3"/>
    </row>
    <row r="704">
      <c r="D704" s="3"/>
    </row>
    <row r="705">
      <c r="D705" s="3"/>
    </row>
    <row r="706">
      <c r="D706" s="3"/>
    </row>
    <row r="707">
      <c r="D707" s="3"/>
    </row>
    <row r="708">
      <c r="D708" s="3"/>
    </row>
    <row r="709">
      <c r="D709" s="3"/>
    </row>
    <row r="710">
      <c r="D710" s="3"/>
    </row>
    <row r="711">
      <c r="D711" s="3"/>
    </row>
    <row r="712">
      <c r="D712" s="3"/>
    </row>
    <row r="713">
      <c r="D713" s="3"/>
    </row>
    <row r="714">
      <c r="D714" s="3"/>
    </row>
    <row r="715">
      <c r="D715" s="3"/>
    </row>
    <row r="716">
      <c r="D716" s="3"/>
    </row>
    <row r="717">
      <c r="D717" s="3"/>
    </row>
    <row r="718">
      <c r="D718" s="3"/>
    </row>
    <row r="719">
      <c r="D719" s="3"/>
    </row>
    <row r="720">
      <c r="D720" s="3"/>
    </row>
    <row r="721">
      <c r="D721" s="3"/>
    </row>
    <row r="722">
      <c r="D722" s="3"/>
    </row>
    <row r="723">
      <c r="D723" s="3"/>
    </row>
    <row r="724">
      <c r="D724" s="3"/>
    </row>
    <row r="725">
      <c r="D725" s="3"/>
    </row>
    <row r="726">
      <c r="D726" s="3"/>
    </row>
    <row r="727">
      <c r="D727" s="3"/>
    </row>
    <row r="728">
      <c r="D728" s="3"/>
    </row>
    <row r="729">
      <c r="D729" s="3"/>
    </row>
    <row r="730">
      <c r="D730" s="3"/>
    </row>
    <row r="731">
      <c r="D731" s="3"/>
    </row>
    <row r="732">
      <c r="D732" s="3"/>
    </row>
    <row r="733">
      <c r="D733" s="3"/>
    </row>
    <row r="734">
      <c r="D734" s="3"/>
    </row>
    <row r="735">
      <c r="D735" s="3"/>
    </row>
    <row r="736">
      <c r="D736" s="3"/>
    </row>
    <row r="737">
      <c r="D737" s="3"/>
    </row>
    <row r="738">
      <c r="D738" s="3"/>
    </row>
    <row r="739">
      <c r="D739" s="3"/>
    </row>
    <row r="740">
      <c r="D740" s="3"/>
    </row>
    <row r="741">
      <c r="D741" s="3"/>
    </row>
    <row r="742">
      <c r="D742" s="3"/>
    </row>
    <row r="743">
      <c r="D743" s="3"/>
    </row>
    <row r="744">
      <c r="D744" s="3"/>
    </row>
    <row r="745">
      <c r="D745" s="3"/>
    </row>
    <row r="746">
      <c r="D746" s="3"/>
    </row>
    <row r="747">
      <c r="D747" s="3"/>
    </row>
    <row r="748">
      <c r="D748" s="3"/>
    </row>
    <row r="749">
      <c r="D749" s="3"/>
    </row>
    <row r="750">
      <c r="D750" s="3"/>
    </row>
    <row r="751">
      <c r="D751" s="3"/>
    </row>
    <row r="752">
      <c r="D752" s="3"/>
    </row>
    <row r="753">
      <c r="D753" s="3"/>
    </row>
    <row r="754">
      <c r="D754" s="3"/>
    </row>
    <row r="755">
      <c r="D755" s="3"/>
    </row>
    <row r="756">
      <c r="D756" s="3"/>
    </row>
    <row r="757">
      <c r="D757" s="3"/>
    </row>
    <row r="758">
      <c r="D758" s="3"/>
    </row>
    <row r="759">
      <c r="D759" s="3"/>
    </row>
    <row r="760">
      <c r="D760" s="3"/>
    </row>
    <row r="761">
      <c r="D761" s="3"/>
    </row>
    <row r="762">
      <c r="D762" s="3"/>
    </row>
    <row r="763">
      <c r="D763" s="3"/>
    </row>
    <row r="764">
      <c r="D764" s="3"/>
    </row>
    <row r="765">
      <c r="D765" s="3"/>
    </row>
    <row r="766">
      <c r="D766" s="3"/>
    </row>
    <row r="767">
      <c r="D767" s="3"/>
    </row>
    <row r="768">
      <c r="D768" s="3"/>
    </row>
    <row r="769">
      <c r="D769" s="3"/>
    </row>
    <row r="770">
      <c r="D770" s="3"/>
    </row>
    <row r="771">
      <c r="D771" s="3"/>
    </row>
    <row r="772">
      <c r="D772" s="3"/>
    </row>
    <row r="773">
      <c r="D773" s="3"/>
    </row>
    <row r="774">
      <c r="D774" s="3"/>
    </row>
    <row r="775">
      <c r="D775" s="3"/>
    </row>
    <row r="776">
      <c r="D776" s="3"/>
    </row>
    <row r="777">
      <c r="D777" s="3"/>
    </row>
    <row r="778">
      <c r="D778" s="3"/>
    </row>
    <row r="779">
      <c r="D779" s="3"/>
    </row>
    <row r="780">
      <c r="D780" s="3"/>
    </row>
    <row r="781">
      <c r="D781" s="3"/>
    </row>
    <row r="782">
      <c r="D782" s="3"/>
    </row>
    <row r="783">
      <c r="D783" s="3"/>
    </row>
    <row r="784">
      <c r="D784" s="3"/>
    </row>
    <row r="785">
      <c r="D785" s="3"/>
    </row>
    <row r="786">
      <c r="D786" s="3"/>
    </row>
    <row r="787">
      <c r="D787" s="3"/>
    </row>
    <row r="788">
      <c r="D788" s="3"/>
    </row>
    <row r="789">
      <c r="D789" s="3"/>
    </row>
    <row r="790">
      <c r="D790" s="3"/>
    </row>
    <row r="791">
      <c r="D791" s="3"/>
    </row>
    <row r="792">
      <c r="D792" s="3"/>
    </row>
    <row r="793">
      <c r="D793" s="3"/>
    </row>
    <row r="794">
      <c r="D794" s="3"/>
    </row>
    <row r="795">
      <c r="D795" s="3"/>
    </row>
    <row r="796">
      <c r="D796" s="3"/>
    </row>
    <row r="797">
      <c r="D797" s="3"/>
    </row>
    <row r="798">
      <c r="D798" s="3"/>
    </row>
    <row r="799">
      <c r="D799" s="3"/>
    </row>
    <row r="800">
      <c r="D800" s="3"/>
    </row>
    <row r="801">
      <c r="D801" s="3"/>
    </row>
    <row r="802">
      <c r="D802" s="3"/>
    </row>
    <row r="803">
      <c r="D803" s="3"/>
    </row>
    <row r="804">
      <c r="D804" s="3"/>
    </row>
    <row r="805">
      <c r="D805" s="3"/>
    </row>
    <row r="806">
      <c r="D806" s="3"/>
    </row>
    <row r="807">
      <c r="D807" s="3"/>
    </row>
    <row r="808">
      <c r="D808" s="3"/>
    </row>
    <row r="809">
      <c r="D809" s="3"/>
    </row>
    <row r="810">
      <c r="D810" s="3"/>
    </row>
    <row r="811">
      <c r="D811" s="3"/>
    </row>
    <row r="812">
      <c r="D812" s="3"/>
    </row>
    <row r="813">
      <c r="D813" s="3"/>
    </row>
    <row r="814">
      <c r="D814" s="3"/>
    </row>
    <row r="815">
      <c r="D815" s="3"/>
    </row>
    <row r="816">
      <c r="D816" s="3"/>
    </row>
    <row r="817">
      <c r="D817" s="3"/>
    </row>
    <row r="818">
      <c r="D818" s="3"/>
    </row>
    <row r="819">
      <c r="D819" s="3"/>
    </row>
    <row r="820">
      <c r="D820" s="3"/>
    </row>
    <row r="821">
      <c r="D821" s="3"/>
    </row>
    <row r="822">
      <c r="D822" s="3"/>
    </row>
    <row r="823">
      <c r="D823" s="3"/>
    </row>
    <row r="824">
      <c r="D824" s="3"/>
    </row>
    <row r="825">
      <c r="D825" s="3"/>
    </row>
    <row r="826">
      <c r="D826" s="3"/>
    </row>
    <row r="827">
      <c r="D827" s="3"/>
    </row>
    <row r="828">
      <c r="D828" s="3"/>
    </row>
    <row r="829">
      <c r="D829" s="3"/>
    </row>
    <row r="830">
      <c r="D830" s="3"/>
    </row>
    <row r="831">
      <c r="D831" s="3"/>
    </row>
    <row r="832">
      <c r="D832" s="3"/>
    </row>
    <row r="833">
      <c r="D833" s="3"/>
    </row>
    <row r="834">
      <c r="D834" s="3"/>
    </row>
    <row r="835">
      <c r="D835" s="3"/>
    </row>
    <row r="836">
      <c r="D836" s="3"/>
    </row>
    <row r="837">
      <c r="D837" s="3"/>
    </row>
    <row r="838">
      <c r="D838" s="3"/>
    </row>
    <row r="839">
      <c r="D839" s="3"/>
    </row>
    <row r="840">
      <c r="D840" s="3"/>
    </row>
    <row r="841">
      <c r="D841" s="3"/>
    </row>
    <row r="842">
      <c r="D842" s="3"/>
    </row>
    <row r="843">
      <c r="D843" s="3"/>
    </row>
    <row r="844">
      <c r="D844" s="3"/>
    </row>
    <row r="845">
      <c r="D845" s="3"/>
    </row>
    <row r="846">
      <c r="D846" s="3"/>
    </row>
    <row r="847">
      <c r="D847" s="3"/>
    </row>
    <row r="848">
      <c r="D848" s="3"/>
    </row>
    <row r="849">
      <c r="D849" s="3"/>
    </row>
    <row r="850">
      <c r="D850" s="3"/>
    </row>
    <row r="851">
      <c r="D851" s="3"/>
    </row>
    <row r="852">
      <c r="D852" s="3"/>
    </row>
    <row r="853">
      <c r="D853" s="3"/>
    </row>
    <row r="854">
      <c r="D854" s="3"/>
    </row>
    <row r="855">
      <c r="D855" s="3"/>
    </row>
    <row r="856">
      <c r="D856" s="3"/>
    </row>
    <row r="857">
      <c r="D857" s="3"/>
    </row>
    <row r="858">
      <c r="D858" s="3"/>
    </row>
    <row r="859">
      <c r="D859" s="3"/>
    </row>
    <row r="860">
      <c r="D860" s="3"/>
    </row>
    <row r="861">
      <c r="D861" s="3"/>
    </row>
    <row r="862">
      <c r="D862" s="3"/>
    </row>
    <row r="863">
      <c r="D863" s="3"/>
    </row>
    <row r="864">
      <c r="D864" s="3"/>
    </row>
    <row r="865">
      <c r="D865" s="3"/>
    </row>
    <row r="866">
      <c r="D866" s="3"/>
    </row>
    <row r="867">
      <c r="D867" s="3"/>
    </row>
    <row r="868">
      <c r="D868" s="3"/>
    </row>
    <row r="869">
      <c r="D869" s="3"/>
    </row>
    <row r="870">
      <c r="D870" s="3"/>
    </row>
    <row r="871">
      <c r="D871" s="3"/>
    </row>
    <row r="872">
      <c r="D872" s="3"/>
    </row>
    <row r="873">
      <c r="D873" s="3"/>
    </row>
    <row r="874">
      <c r="D874" s="3"/>
    </row>
    <row r="875">
      <c r="D875" s="3"/>
    </row>
    <row r="876">
      <c r="D876" s="3"/>
    </row>
    <row r="877">
      <c r="D877" s="3"/>
    </row>
    <row r="878">
      <c r="D878" s="3"/>
    </row>
    <row r="879">
      <c r="D879" s="3"/>
    </row>
    <row r="880">
      <c r="D880" s="3"/>
    </row>
    <row r="881">
      <c r="D881" s="3"/>
    </row>
    <row r="882">
      <c r="D882" s="3"/>
    </row>
    <row r="883">
      <c r="D883" s="3"/>
    </row>
    <row r="884">
      <c r="D884" s="3"/>
    </row>
    <row r="885">
      <c r="D885" s="3"/>
    </row>
    <row r="886">
      <c r="D886" s="3"/>
    </row>
    <row r="887">
      <c r="D887" s="3"/>
    </row>
    <row r="888">
      <c r="D888" s="3"/>
    </row>
    <row r="889">
      <c r="D889" s="3"/>
    </row>
    <row r="890">
      <c r="D890" s="3"/>
    </row>
    <row r="891">
      <c r="D891" s="3"/>
    </row>
    <row r="892">
      <c r="D892" s="3"/>
    </row>
    <row r="893">
      <c r="D893" s="3"/>
    </row>
    <row r="894">
      <c r="D894" s="3"/>
    </row>
    <row r="895">
      <c r="D895" s="3"/>
    </row>
    <row r="896">
      <c r="D896" s="3"/>
    </row>
    <row r="897">
      <c r="D897" s="3"/>
    </row>
    <row r="898">
      <c r="D898" s="3"/>
    </row>
    <row r="899">
      <c r="D899" s="3"/>
    </row>
    <row r="900">
      <c r="D900" s="3"/>
    </row>
    <row r="901">
      <c r="D901" s="3"/>
    </row>
    <row r="902">
      <c r="D902" s="3"/>
    </row>
    <row r="903">
      <c r="D903" s="3"/>
    </row>
    <row r="904">
      <c r="D904" s="3"/>
    </row>
    <row r="905">
      <c r="D905" s="3"/>
    </row>
    <row r="906">
      <c r="D906" s="3"/>
    </row>
    <row r="907">
      <c r="D907" s="3"/>
    </row>
    <row r="908">
      <c r="D908" s="3"/>
    </row>
    <row r="909">
      <c r="D909" s="3"/>
    </row>
    <row r="910">
      <c r="D910" s="3"/>
    </row>
    <row r="911">
      <c r="D911" s="3"/>
    </row>
    <row r="912">
      <c r="D912" s="3"/>
    </row>
    <row r="913">
      <c r="D913" s="3"/>
    </row>
    <row r="914">
      <c r="D914" s="3"/>
    </row>
    <row r="915">
      <c r="D915" s="3"/>
    </row>
    <row r="916">
      <c r="D916" s="3"/>
    </row>
    <row r="917">
      <c r="D917" s="3"/>
    </row>
    <row r="918">
      <c r="D918" s="3"/>
    </row>
    <row r="919">
      <c r="D919" s="3"/>
    </row>
    <row r="920">
      <c r="D920" s="3"/>
    </row>
    <row r="921">
      <c r="D921" s="3"/>
    </row>
    <row r="922">
      <c r="D922" s="3"/>
    </row>
    <row r="923">
      <c r="D923" s="3"/>
    </row>
    <row r="924">
      <c r="D924" s="3"/>
    </row>
    <row r="925">
      <c r="D925" s="3"/>
    </row>
    <row r="926">
      <c r="D926" s="3"/>
    </row>
    <row r="927">
      <c r="D927" s="3"/>
    </row>
    <row r="928">
      <c r="D928" s="3"/>
    </row>
    <row r="929">
      <c r="D929" s="3"/>
    </row>
    <row r="930">
      <c r="D930" s="3"/>
    </row>
    <row r="931">
      <c r="D931" s="3"/>
    </row>
    <row r="932">
      <c r="D932" s="3"/>
    </row>
    <row r="933">
      <c r="D933" s="3"/>
    </row>
    <row r="934">
      <c r="D934" s="3"/>
    </row>
    <row r="935">
      <c r="D935" s="3"/>
    </row>
    <row r="936">
      <c r="D936" s="3"/>
    </row>
    <row r="937">
      <c r="D937" s="3"/>
    </row>
    <row r="938">
      <c r="D938" s="3"/>
    </row>
    <row r="939">
      <c r="D939" s="3"/>
    </row>
    <row r="940">
      <c r="D940" s="3"/>
    </row>
    <row r="941">
      <c r="D941" s="3"/>
    </row>
    <row r="942">
      <c r="D942" s="3"/>
    </row>
    <row r="943">
      <c r="D943" s="3"/>
    </row>
    <row r="944">
      <c r="D944" s="3"/>
    </row>
    <row r="945">
      <c r="D945" s="3"/>
    </row>
    <row r="946">
      <c r="D946" s="3"/>
    </row>
    <row r="947">
      <c r="D947" s="3"/>
    </row>
    <row r="948">
      <c r="D948" s="3"/>
    </row>
    <row r="949">
      <c r="D949" s="3"/>
    </row>
    <row r="950">
      <c r="D950" s="3"/>
    </row>
    <row r="951">
      <c r="D951" s="3"/>
    </row>
    <row r="952">
      <c r="D952" s="3"/>
    </row>
    <row r="953">
      <c r="D953" s="3"/>
    </row>
    <row r="954">
      <c r="D954" s="3"/>
    </row>
    <row r="955">
      <c r="D955" s="3"/>
    </row>
    <row r="956">
      <c r="D956" s="3"/>
    </row>
    <row r="957">
      <c r="D957" s="3"/>
    </row>
    <row r="958">
      <c r="D958" s="3"/>
    </row>
    <row r="959">
      <c r="D959" s="3"/>
    </row>
    <row r="960">
      <c r="D960" s="3"/>
    </row>
    <row r="961">
      <c r="D961" s="3"/>
    </row>
    <row r="962">
      <c r="D962" s="3"/>
    </row>
    <row r="963">
      <c r="D963" s="3"/>
    </row>
    <row r="964">
      <c r="D964" s="3"/>
    </row>
    <row r="965">
      <c r="D965" s="3"/>
    </row>
    <row r="966">
      <c r="D966" s="3"/>
    </row>
    <row r="967">
      <c r="D967" s="3"/>
    </row>
    <row r="968">
      <c r="D968" s="3"/>
    </row>
    <row r="969">
      <c r="D969" s="3"/>
    </row>
    <row r="970">
      <c r="D970" s="3"/>
    </row>
    <row r="971">
      <c r="D971" s="3"/>
    </row>
    <row r="972">
      <c r="D972" s="3"/>
    </row>
    <row r="973">
      <c r="D973" s="3"/>
    </row>
    <row r="974">
      <c r="D974" s="3"/>
    </row>
    <row r="975">
      <c r="D975" s="3"/>
    </row>
    <row r="976">
      <c r="D976" s="3"/>
    </row>
    <row r="977">
      <c r="D977" s="3"/>
    </row>
    <row r="978">
      <c r="D978" s="3"/>
    </row>
    <row r="979">
      <c r="D979" s="3"/>
    </row>
    <row r="980">
      <c r="D980" s="3"/>
    </row>
    <row r="981">
      <c r="D981" s="3"/>
    </row>
    <row r="982">
      <c r="D982" s="3"/>
    </row>
    <row r="983">
      <c r="D983" s="3"/>
    </row>
    <row r="984">
      <c r="D984" s="3"/>
    </row>
    <row r="985">
      <c r="D985" s="3"/>
    </row>
    <row r="986">
      <c r="D986" s="3"/>
    </row>
    <row r="987">
      <c r="D987" s="3"/>
    </row>
    <row r="988">
      <c r="D988" s="3"/>
    </row>
    <row r="989">
      <c r="D989" s="3"/>
    </row>
    <row r="990">
      <c r="D990" s="3"/>
    </row>
    <row r="991">
      <c r="D991" s="3"/>
    </row>
    <row r="992">
      <c r="D992" s="3"/>
    </row>
    <row r="993">
      <c r="D993" s="3"/>
    </row>
    <row r="994">
      <c r="D994" s="3"/>
    </row>
    <row r="995">
      <c r="D995" s="3"/>
    </row>
    <row r="996">
      <c r="D996" s="3"/>
    </row>
    <row r="997">
      <c r="D997" s="3"/>
    </row>
    <row r="998">
      <c r="D998" s="3"/>
    </row>
    <row r="999">
      <c r="D999" s="3"/>
    </row>
    <row r="1000">
      <c r="D1000" s="3"/>
    </row>
    <row r="1001">
      <c r="D1001" s="3"/>
    </row>
    <row r="1002">
      <c r="D1002" s="3"/>
    </row>
    <row r="1003">
      <c r="D1003" s="3"/>
    </row>
  </sheetData>
  <dataValidations>
    <dataValidation type="list" allowBlank="1" showErrorMessage="1" sqref="D1:D1003">
      <formula1>"생필품,식재료,보조제,교통비,구독료,문건 인출비,사치품,외식,자기개발비"</formula1>
    </dataValidation>
  </dataValidations>
  <drawing r:id="rId1"/>
</worksheet>
</file>