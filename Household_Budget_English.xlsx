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2025년 9월" sheetId="2" state="visible" r:id="rId4"/>
    <sheet name="2025년 10월" sheetId="3" state="visible" r:id="rId5"/>
    <sheet name="2025년 11월" sheetId="4" state="visible" r:id="rId6"/>
    <sheet name="2025년 12월" sheetId="5" state="visible" r:id="rId7"/>
    <sheet name="2026년 1월" sheetId="6" state="visible" r:id="rId8"/>
    <sheet name="2026년 2월" sheetId="7" state="visible" r:id="rId9"/>
    <sheet name="2026년 3월" sheetId="8" state="visible" r:id="rId10"/>
    <sheet name="새 달 템플릿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<sst xmlns="http://schemas.openxmlformats.org/spreadsheetml/2006/main" count="985" uniqueCount="303">
  <si>
    <r>
      <rPr>
        <b val="true"/>
        <sz val="14"/>
        <color rgb="FFFFFFFF"/>
        <rFont val="DejaVu Sans"/>
        <family val="2"/>
      </rPr>
      <t xml:space="preserve">가계부 전체 요약  </t>
    </r>
    <r>
      <rPr>
        <b val="true"/>
        <sz val="14"/>
        <color rgb="FFFFFFFF"/>
        <rFont val="맑은 고딕"/>
        <family val="0"/>
        <charset val="1"/>
      </rPr>
      <t xml:space="preserve">(2025</t>
    </r>
    <r>
      <rPr>
        <b val="true"/>
        <sz val="14"/>
        <color rgb="FFFFFFFF"/>
        <rFont val="DejaVu Sans"/>
        <family val="2"/>
      </rPr>
      <t xml:space="preserve">년 </t>
    </r>
    <r>
      <rPr>
        <b val="true"/>
        <sz val="14"/>
        <color rgb="FFFFFFFF"/>
        <rFont val="맑은 고딕"/>
        <family val="0"/>
        <charset val="1"/>
      </rPr>
      <t xml:space="preserve">9</t>
    </r>
    <r>
      <rPr>
        <b val="true"/>
        <sz val="14"/>
        <color rgb="FFFFFFFF"/>
        <rFont val="DejaVu Sans"/>
        <family val="2"/>
      </rPr>
      <t xml:space="preserve">월 – </t>
    </r>
    <r>
      <rPr>
        <b val="true"/>
        <sz val="14"/>
        <color rgb="FFFFFFFF"/>
        <rFont val="맑은 고딕"/>
        <family val="0"/>
        <charset val="1"/>
      </rPr>
      <t xml:space="preserve">2026</t>
    </r>
    <r>
      <rPr>
        <b val="true"/>
        <sz val="14"/>
        <color rgb="FFFFFFFF"/>
        <rFont val="DejaVu Sans"/>
        <family val="2"/>
      </rPr>
      <t xml:space="preserve">년 </t>
    </r>
    <r>
      <rPr>
        <b val="true"/>
        <sz val="14"/>
        <color rgb="FFFFFFFF"/>
        <rFont val="맑은 고딕"/>
        <family val="0"/>
        <charset val="1"/>
      </rPr>
      <t xml:space="preserve">3</t>
    </r>
    <r>
      <rPr>
        <b val="true"/>
        <sz val="14"/>
        <color rgb="FFFFFFFF"/>
        <rFont val="DejaVu Sans"/>
        <family val="2"/>
      </rPr>
      <t xml:space="preserve">월</t>
    </r>
    <r>
      <rPr>
        <b val="true"/>
        <sz val="14"/>
        <color rgb="FFFFFFFF"/>
        <rFont val="맑은 고딕"/>
        <family val="0"/>
        <charset val="1"/>
      </rPr>
      <t xml:space="preserve">)</t>
    </r>
  </si>
  <si>
    <t xml:space="preserve">지표</t>
  </si>
  <si>
    <r>
      <rPr>
        <b val="true"/>
        <sz val="10"/>
        <color rgb="FFFFFFFF"/>
        <rFont val="맑은 고딕"/>
        <family val="0"/>
        <charset val="1"/>
      </rPr>
      <t xml:space="preserve">2025</t>
    </r>
    <r>
      <rPr>
        <b val="true"/>
        <sz val="10"/>
        <color rgb="FFFFFFFF"/>
        <rFont val="DejaVu Sans"/>
        <family val="2"/>
      </rPr>
      <t xml:space="preserve">년 </t>
    </r>
    <r>
      <rPr>
        <b val="true"/>
        <sz val="10"/>
        <color rgb="FFFFFFFF"/>
        <rFont val="맑은 고딕"/>
        <family val="0"/>
        <charset val="1"/>
      </rPr>
      <t xml:space="preserve">9</t>
    </r>
    <r>
      <rPr>
        <b val="true"/>
        <sz val="10"/>
        <color rgb="FFFFFFFF"/>
        <rFont val="DejaVu Sans"/>
        <family val="2"/>
      </rPr>
      <t xml:space="preserve">월</t>
    </r>
  </si>
  <si>
    <r>
      <rPr>
        <b val="true"/>
        <sz val="10"/>
        <color rgb="FFFFFFFF"/>
        <rFont val="맑은 고딕"/>
        <family val="0"/>
        <charset val="1"/>
      </rPr>
      <t xml:space="preserve">2025</t>
    </r>
    <r>
      <rPr>
        <b val="true"/>
        <sz val="10"/>
        <color rgb="FFFFFFFF"/>
        <rFont val="DejaVu Sans"/>
        <family val="2"/>
      </rPr>
      <t xml:space="preserve">년 </t>
    </r>
    <r>
      <rPr>
        <b val="true"/>
        <sz val="10"/>
        <color rgb="FFFFFFFF"/>
        <rFont val="맑은 고딕"/>
        <family val="0"/>
        <charset val="1"/>
      </rPr>
      <t xml:space="preserve">10</t>
    </r>
    <r>
      <rPr>
        <b val="true"/>
        <sz val="10"/>
        <color rgb="FFFFFFFF"/>
        <rFont val="DejaVu Sans"/>
        <family val="2"/>
      </rPr>
      <t xml:space="preserve">월</t>
    </r>
  </si>
  <si>
    <r>
      <rPr>
        <b val="true"/>
        <sz val="10"/>
        <color rgb="FFFFFFFF"/>
        <rFont val="맑은 고딕"/>
        <family val="0"/>
        <charset val="1"/>
      </rPr>
      <t xml:space="preserve">2025</t>
    </r>
    <r>
      <rPr>
        <b val="true"/>
        <sz val="10"/>
        <color rgb="FFFFFFFF"/>
        <rFont val="DejaVu Sans"/>
        <family val="2"/>
      </rPr>
      <t xml:space="preserve">년 </t>
    </r>
    <r>
      <rPr>
        <b val="true"/>
        <sz val="10"/>
        <color rgb="FFFFFFFF"/>
        <rFont val="맑은 고딕"/>
        <family val="0"/>
        <charset val="1"/>
      </rPr>
      <t xml:space="preserve">11</t>
    </r>
    <r>
      <rPr>
        <b val="true"/>
        <sz val="10"/>
        <color rgb="FFFFFFFF"/>
        <rFont val="DejaVu Sans"/>
        <family val="2"/>
      </rPr>
      <t xml:space="preserve">월</t>
    </r>
  </si>
  <si>
    <r>
      <rPr>
        <b val="true"/>
        <sz val="10"/>
        <color rgb="FFFFFFFF"/>
        <rFont val="맑은 고딕"/>
        <family val="0"/>
        <charset val="1"/>
      </rPr>
      <t xml:space="preserve">2025</t>
    </r>
    <r>
      <rPr>
        <b val="true"/>
        <sz val="10"/>
        <color rgb="FFFFFFFF"/>
        <rFont val="DejaVu Sans"/>
        <family val="2"/>
      </rPr>
      <t xml:space="preserve">년 </t>
    </r>
    <r>
      <rPr>
        <b val="true"/>
        <sz val="10"/>
        <color rgb="FFFFFFFF"/>
        <rFont val="맑은 고딕"/>
        <family val="0"/>
        <charset val="1"/>
      </rPr>
      <t xml:space="preserve">12</t>
    </r>
    <r>
      <rPr>
        <b val="true"/>
        <sz val="10"/>
        <color rgb="FFFFFFFF"/>
        <rFont val="DejaVu Sans"/>
        <family val="2"/>
      </rPr>
      <t xml:space="preserve">월</t>
    </r>
  </si>
  <si>
    <r>
      <rPr>
        <b val="true"/>
        <sz val="10"/>
        <color rgb="FFFFFFFF"/>
        <rFont val="맑은 고딕"/>
        <family val="0"/>
        <charset val="1"/>
      </rPr>
      <t xml:space="preserve">2026</t>
    </r>
    <r>
      <rPr>
        <b val="true"/>
        <sz val="10"/>
        <color rgb="FFFFFFFF"/>
        <rFont val="DejaVu Sans"/>
        <family val="2"/>
      </rPr>
      <t xml:space="preserve">년 </t>
    </r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DejaVu Sans"/>
        <family val="2"/>
      </rPr>
      <t xml:space="preserve">월</t>
    </r>
  </si>
  <si>
    <r>
      <rPr>
        <b val="true"/>
        <sz val="10"/>
        <color rgb="FFFFFFFF"/>
        <rFont val="맑은 고딕"/>
        <family val="0"/>
        <charset val="1"/>
      </rPr>
      <t xml:space="preserve">2026</t>
    </r>
    <r>
      <rPr>
        <b val="true"/>
        <sz val="10"/>
        <color rgb="FFFFFFFF"/>
        <rFont val="DejaVu Sans"/>
        <family val="2"/>
      </rPr>
      <t xml:space="preserve">년 </t>
    </r>
    <r>
      <rPr>
        <b val="true"/>
        <sz val="10"/>
        <color rgb="FFFFFFFF"/>
        <rFont val="맑은 고딕"/>
        <family val="0"/>
        <charset val="1"/>
      </rPr>
      <t xml:space="preserve">2</t>
    </r>
    <r>
      <rPr>
        <b val="true"/>
        <sz val="10"/>
        <color rgb="FFFFFFFF"/>
        <rFont val="DejaVu Sans"/>
        <family val="2"/>
      </rPr>
      <t xml:space="preserve">월</t>
    </r>
  </si>
  <si>
    <r>
      <rPr>
        <b val="true"/>
        <sz val="10"/>
        <color rgb="FFFFFFFF"/>
        <rFont val="맑은 고딕"/>
        <family val="0"/>
        <charset val="1"/>
      </rPr>
      <t xml:space="preserve">2026</t>
    </r>
    <r>
      <rPr>
        <b val="true"/>
        <sz val="10"/>
        <color rgb="FFFFFFFF"/>
        <rFont val="DejaVu Sans"/>
        <family val="2"/>
      </rPr>
      <t xml:space="preserve">년 </t>
    </r>
    <r>
      <rPr>
        <b val="true"/>
        <sz val="10"/>
        <color rgb="FFFFFFFF"/>
        <rFont val="맑은 고딕"/>
        <family val="0"/>
        <charset val="1"/>
      </rPr>
      <t xml:space="preserve">3</t>
    </r>
    <r>
      <rPr>
        <b val="true"/>
        <sz val="10"/>
        <color rgb="FFFFFFFF"/>
        <rFont val="DejaVu Sans"/>
        <family val="2"/>
      </rPr>
      <t xml:space="preserve">월</t>
    </r>
  </si>
  <si>
    <t xml:space="preserve">총 지출</t>
  </si>
  <si>
    <t xml:space="preserve">  생필품</t>
  </si>
  <si>
    <t xml:space="preserve">  식재료</t>
  </si>
  <si>
    <t xml:space="preserve">  보조제</t>
  </si>
  <si>
    <t xml:space="preserve">  교통비</t>
  </si>
  <si>
    <t xml:space="preserve">  외식</t>
  </si>
  <si>
    <t xml:space="preserve">  사치 음식</t>
  </si>
  <si>
    <t xml:space="preserve">  사치품</t>
  </si>
  <si>
    <t xml:space="preserve">  여행</t>
  </si>
  <si>
    <t xml:space="preserve">  자기개발비</t>
  </si>
  <si>
    <t xml:space="preserve">  기타</t>
  </si>
  <si>
    <t xml:space="preserve">── 식비 분석 ──</t>
  </si>
  <si>
    <t xml:space="preserve">식비 합계</t>
  </si>
  <si>
    <r>
      <rPr>
        <sz val="9"/>
        <color rgb="FF000000"/>
        <rFont val="맑은 고딕"/>
        <family val="0"/>
        <charset val="1"/>
      </rPr>
      <t xml:space="preserve">1</t>
    </r>
    <r>
      <rPr>
        <sz val="9"/>
        <color rgb="FF000000"/>
        <rFont val="DejaVu Sans"/>
        <family val="2"/>
      </rPr>
      <t xml:space="preserve">일당 식비</t>
    </r>
  </si>
  <si>
    <r>
      <rPr>
        <sz val="9"/>
        <color rgb="FF000000"/>
        <rFont val="맑은 고딕"/>
        <family val="0"/>
        <charset val="1"/>
      </rPr>
      <t xml:space="preserve">1</t>
    </r>
    <r>
      <rPr>
        <sz val="9"/>
        <color rgb="FF000000"/>
        <rFont val="DejaVu Sans"/>
        <family val="2"/>
      </rPr>
      <t xml:space="preserve">끼당 식비</t>
    </r>
  </si>
  <si>
    <r>
      <rPr>
        <sz val="9"/>
        <color rgb="FF000000"/>
        <rFont val="DejaVu Sans"/>
        <family val="2"/>
      </rPr>
      <t xml:space="preserve">외식</t>
    </r>
    <r>
      <rPr>
        <sz val="9"/>
        <color rgb="FF000000"/>
        <rFont val="맑은 고딕"/>
        <family val="0"/>
        <charset val="1"/>
      </rPr>
      <t xml:space="preserve">:</t>
    </r>
    <r>
      <rPr>
        <sz val="9"/>
        <color rgb="FF000000"/>
        <rFont val="DejaVu Sans"/>
        <family val="2"/>
      </rPr>
      <t xml:space="preserve">요리 비율</t>
    </r>
  </si>
  <si>
    <t xml:space="preserve">── 은행 잔고 ──</t>
  </si>
  <si>
    <t xml:space="preserve">현재 잔고</t>
  </si>
  <si>
    <t xml:space="preserve">현재까지 월 평균</t>
  </si>
  <si>
    <r>
      <rPr>
        <sz val="9"/>
        <color rgb="FF000000"/>
        <rFont val="DejaVu Sans"/>
        <family val="2"/>
      </rPr>
      <t xml:space="preserve">남은 개월 수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DejaVu Sans"/>
        <family val="2"/>
      </rPr>
      <t xml:space="preserve">예상</t>
    </r>
    <r>
      <rPr>
        <sz val="9"/>
        <color rgb="FF000000"/>
        <rFont val="맑은 고딕"/>
        <family val="0"/>
        <charset val="1"/>
      </rPr>
      <t xml:space="preserve">)</t>
    </r>
  </si>
  <si>
    <t xml:space="preserve">날짜</t>
  </si>
  <si>
    <r>
      <rPr>
        <b val="true"/>
        <sz val="10"/>
        <color rgb="FFFFFFFF"/>
        <rFont val="DejaVu Sans"/>
        <family val="2"/>
      </rPr>
      <t xml:space="preserve">금액 </t>
    </r>
    <r>
      <rPr>
        <b val="true"/>
        <sz val="10"/>
        <color rgb="FFFFFFFF"/>
        <rFont val="맑은 고딕"/>
        <family val="0"/>
        <charset val="1"/>
      </rPr>
      <t xml:space="preserve">($)</t>
    </r>
  </si>
  <si>
    <t xml:space="preserve">상품</t>
  </si>
  <si>
    <t xml:space="preserve">카테고리</t>
  </si>
  <si>
    <t xml:space="preserve">월 누적</t>
  </si>
  <si>
    <r>
      <rPr>
        <b val="true"/>
        <sz val="13"/>
        <color rgb="FFFFFFFF"/>
        <rFont val="DejaVu Sans"/>
        <family val="2"/>
      </rPr>
      <t xml:space="preserve">가계부 — </t>
    </r>
    <r>
      <rPr>
        <b val="true"/>
        <sz val="13"/>
        <color rgb="FFFFFFFF"/>
        <rFont val="맑은 고딕"/>
        <family val="0"/>
        <charset val="1"/>
      </rPr>
      <t xml:space="preserve">2025</t>
    </r>
    <r>
      <rPr>
        <b val="true"/>
        <sz val="13"/>
        <color rgb="FFFFFFFF"/>
        <rFont val="DejaVu Sans"/>
        <family val="2"/>
      </rPr>
      <t xml:space="preserve">년 </t>
    </r>
    <r>
      <rPr>
        <b val="true"/>
        <sz val="13"/>
        <color rgb="FFFFFFFF"/>
        <rFont val="맑은 고딕"/>
        <family val="0"/>
        <charset val="1"/>
      </rPr>
      <t xml:space="preserve">9</t>
    </r>
    <r>
      <rPr>
        <b val="true"/>
        <sz val="13"/>
        <color rgb="FFFFFFFF"/>
        <rFont val="DejaVu Sans"/>
        <family val="2"/>
      </rPr>
      <t xml:space="preserve">월</t>
    </r>
  </si>
  <si>
    <t xml:space="preserve">밥솥</t>
  </si>
  <si>
    <t xml:space="preserve">생필품</t>
  </si>
  <si>
    <r>
      <rPr>
        <b val="true"/>
        <sz val="9"/>
        <color rgb="FF000000"/>
        <rFont val="DejaVu Sans"/>
        <family val="2"/>
      </rPr>
      <t xml:space="preserve">이전 달 시트명</t>
    </r>
    <r>
      <rPr>
        <b val="true"/>
        <sz val="9"/>
        <color rgb="FF000000"/>
        <rFont val="맑은 고딕"/>
        <family val="0"/>
        <charset val="1"/>
      </rPr>
      <t xml:space="preserve">:</t>
    </r>
  </si>
  <si>
    <t xml:space="preserve">← 새 달 시작 시 업데이트</t>
  </si>
  <si>
    <r>
      <rPr>
        <sz val="9"/>
        <color rgb="FF000000"/>
        <rFont val="DejaVu Sans"/>
        <family val="2"/>
      </rPr>
      <t xml:space="preserve">쌀 </t>
    </r>
    <r>
      <rPr>
        <sz val="9"/>
        <color rgb="FF000000"/>
        <rFont val="맑은 고딕"/>
        <family val="0"/>
        <charset val="1"/>
      </rPr>
      <t xml:space="preserve">15</t>
    </r>
    <r>
      <rPr>
        <sz val="9"/>
        <color rgb="FF000000"/>
        <rFont val="DejaVu Sans"/>
        <family val="2"/>
      </rPr>
      <t xml:space="preserve">파운드</t>
    </r>
  </si>
  <si>
    <t xml:space="preserve">식재료</t>
  </si>
  <si>
    <r>
      <rPr>
        <sz val="9"/>
        <color rgb="FF000000"/>
        <rFont val="DejaVu Sans"/>
        <family val="2"/>
      </rPr>
      <t xml:space="preserve">바디워시 </t>
    </r>
    <r>
      <rPr>
        <sz val="9"/>
        <color rgb="FF000000"/>
        <rFont val="맑은 고딕"/>
        <family val="0"/>
        <charset val="1"/>
      </rPr>
      <t xml:space="preserve">28</t>
    </r>
    <r>
      <rPr>
        <sz val="9"/>
        <color rgb="FF000000"/>
        <rFont val="DejaVu Sans"/>
        <family val="2"/>
      </rPr>
      <t xml:space="preserve">온스</t>
    </r>
  </si>
  <si>
    <t xml:space="preserve">지출 요약</t>
  </si>
  <si>
    <r>
      <rPr>
        <b val="true"/>
        <sz val="9"/>
        <color rgb="FFFFFFFF"/>
        <rFont val="DejaVu Sans"/>
        <family val="2"/>
      </rPr>
      <t xml:space="preserve">금액 </t>
    </r>
    <r>
      <rPr>
        <b val="true"/>
        <sz val="9"/>
        <color rgb="FFFFFFFF"/>
        <rFont val="맑은 고딕"/>
        <family val="0"/>
        <charset val="1"/>
      </rPr>
      <t xml:space="preserve">($)</t>
    </r>
  </si>
  <si>
    <r>
      <rPr>
        <b val="true"/>
        <sz val="9"/>
        <color rgb="FFFFFFFF"/>
        <rFont val="DejaVu Sans"/>
        <family val="2"/>
      </rPr>
      <t xml:space="preserve">전월 비교 </t>
    </r>
    <r>
      <rPr>
        <b val="true"/>
        <sz val="9"/>
        <color rgb="FFFFFFFF"/>
        <rFont val="맑은 고딕"/>
        <family val="0"/>
        <charset val="1"/>
      </rPr>
      <t xml:space="preserve">(%)</t>
    </r>
  </si>
  <si>
    <t xml:space="preserve">멀티비타민</t>
  </si>
  <si>
    <t xml:space="preserve">보조제</t>
  </si>
  <si>
    <t xml:space="preserve">헤드폰 충전기</t>
  </si>
  <si>
    <r>
      <rPr>
        <sz val="9"/>
        <color rgb="FF000000"/>
        <rFont val="맑은 고딕"/>
        <family val="0"/>
        <charset val="1"/>
      </rPr>
      <t xml:space="preserve">U</t>
    </r>
    <r>
      <rPr>
        <sz val="9"/>
        <color rgb="FF000000"/>
        <rFont val="DejaVu Sans"/>
        <family val="2"/>
      </rPr>
      <t xml:space="preserve">락</t>
    </r>
  </si>
  <si>
    <r>
      <rPr>
        <sz val="9"/>
        <color rgb="FF000000"/>
        <rFont val="DejaVu Sans"/>
        <family val="2"/>
      </rPr>
      <t xml:space="preserve">칫솔 </t>
    </r>
    <r>
      <rPr>
        <sz val="9"/>
        <color rgb="FF000000"/>
        <rFont val="맑은 고딕"/>
        <family val="0"/>
        <charset val="1"/>
      </rPr>
      <t xml:space="preserve">6</t>
    </r>
    <r>
      <rPr>
        <sz val="9"/>
        <color rgb="FF000000"/>
        <rFont val="DejaVu Sans"/>
        <family val="2"/>
      </rPr>
      <t xml:space="preserve">개</t>
    </r>
  </si>
  <si>
    <r>
      <rPr>
        <sz val="9"/>
        <color rgb="FF000000"/>
        <rFont val="DejaVu Sans"/>
        <family val="2"/>
      </rPr>
      <t xml:space="preserve">치약 </t>
    </r>
    <r>
      <rPr>
        <sz val="9"/>
        <color rgb="FF000000"/>
        <rFont val="맑은 고딕"/>
        <family val="0"/>
        <charset val="1"/>
      </rPr>
      <t xml:space="preserve">4</t>
    </r>
    <r>
      <rPr>
        <sz val="9"/>
        <color rgb="FF000000"/>
        <rFont val="DejaVu Sans"/>
        <family val="2"/>
      </rPr>
      <t xml:space="preserve">개</t>
    </r>
  </si>
  <si>
    <r>
      <rPr>
        <sz val="9"/>
        <color rgb="FF000000"/>
        <rFont val="DejaVu Sans"/>
        <family val="2"/>
      </rPr>
      <t xml:space="preserve">정수기 필터 </t>
    </r>
    <r>
      <rPr>
        <sz val="9"/>
        <color rgb="FF000000"/>
        <rFont val="맑은 고딕"/>
        <family val="0"/>
        <charset val="1"/>
      </rPr>
      <t xml:space="preserve">4</t>
    </r>
    <r>
      <rPr>
        <sz val="9"/>
        <color rgb="FF000000"/>
        <rFont val="DejaVu Sans"/>
        <family val="2"/>
      </rPr>
      <t xml:space="preserve">개</t>
    </r>
  </si>
  <si>
    <r>
      <rPr>
        <sz val="9"/>
        <color rgb="FF000000"/>
        <rFont val="DejaVu Sans"/>
        <family val="2"/>
      </rPr>
      <t xml:space="preserve">세제 </t>
    </r>
    <r>
      <rPr>
        <sz val="9"/>
        <color rgb="FF000000"/>
        <rFont val="맑은 고딕"/>
        <family val="0"/>
        <charset val="1"/>
      </rPr>
      <t xml:space="preserve">140</t>
    </r>
    <r>
      <rPr>
        <sz val="9"/>
        <color rgb="FF000000"/>
        <rFont val="DejaVu Sans"/>
        <family val="2"/>
      </rPr>
      <t xml:space="preserve">온스</t>
    </r>
  </si>
  <si>
    <r>
      <rPr>
        <sz val="9"/>
        <color rgb="FF000000"/>
        <rFont val="DejaVu Sans"/>
        <family val="2"/>
      </rPr>
      <t xml:space="preserve">택시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DejaVu Sans"/>
        <family val="2"/>
      </rPr>
      <t xml:space="preserve">버스정류장에서 집으로</t>
    </r>
    <r>
      <rPr>
        <sz val="9"/>
        <color rgb="FF000000"/>
        <rFont val="맑은 고딕"/>
        <family val="0"/>
        <charset val="1"/>
      </rPr>
      <t xml:space="preserve">)</t>
    </r>
  </si>
  <si>
    <t xml:space="preserve">교통비</t>
  </si>
  <si>
    <t xml:space="preserve">아마존 프라임</t>
  </si>
  <si>
    <t xml:space="preserve">구독료</t>
  </si>
  <si>
    <r>
      <rPr>
        <sz val="9"/>
        <color rgb="FF000000"/>
        <rFont val="DejaVu Sans"/>
        <family val="2"/>
      </rPr>
      <t xml:space="preserve">택시 </t>
    </r>
    <r>
      <rPr>
        <sz val="9"/>
        <color rgb="FF000000"/>
        <rFont val="맑은 고딕"/>
        <family val="0"/>
        <charset val="1"/>
      </rPr>
      <t xml:space="preserve">(DMV </t>
    </r>
    <r>
      <rPr>
        <sz val="9"/>
        <color rgb="FF000000"/>
        <rFont val="DejaVu Sans"/>
        <family val="2"/>
      </rPr>
      <t xml:space="preserve">가는거</t>
    </r>
    <r>
      <rPr>
        <sz val="9"/>
        <color rgb="FF000000"/>
        <rFont val="맑은 고딕"/>
        <family val="0"/>
        <charset val="1"/>
      </rPr>
      <t xml:space="preserve">)</t>
    </r>
  </si>
  <si>
    <t xml:space="preserve">배터리</t>
  </si>
  <si>
    <t xml:space="preserve">물통</t>
  </si>
  <si>
    <r>
      <rPr>
        <sz val="9"/>
        <color rgb="FF000000"/>
        <rFont val="DejaVu Sans"/>
        <family val="2"/>
      </rPr>
      <t xml:space="preserve">아침식사 </t>
    </r>
    <r>
      <rPr>
        <sz val="9"/>
        <color rgb="FF000000"/>
        <rFont val="맑은 고딕"/>
        <family val="0"/>
        <charset val="1"/>
      </rPr>
      <t xml:space="preserve">Jeannine's</t>
    </r>
  </si>
  <si>
    <t xml:space="preserve">외식</t>
  </si>
  <si>
    <t xml:space="preserve">식비 분석</t>
  </si>
  <si>
    <t xml:space="preserve">I-94 application + print</t>
  </si>
  <si>
    <t xml:space="preserve">문건 인출비</t>
  </si>
  <si>
    <t xml:space="preserve">닭가슴살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</si>
  <si>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DejaVu Sans"/>
        <family val="2"/>
      </rPr>
      <t xml:space="preserve">일당 식비</t>
    </r>
  </si>
  <si>
    <r>
      <rPr>
        <i val="true"/>
        <sz val="8"/>
        <color rgb="FF888888"/>
        <rFont val="DejaVu Sans"/>
        <family val="2"/>
      </rPr>
      <t xml:space="preserve">목표</t>
    </r>
    <r>
      <rPr>
        <i val="true"/>
        <sz val="8"/>
        <color rgb="FF888888"/>
        <rFont val="맑은 고딕"/>
        <family val="0"/>
        <charset val="1"/>
      </rPr>
      <t xml:space="preserve">: H26</t>
    </r>
    <r>
      <rPr>
        <i val="true"/>
        <sz val="8"/>
        <color rgb="FF888888"/>
        <rFont val="DejaVu Sans"/>
        <family val="2"/>
      </rPr>
      <t xml:space="preserve">행 참고</t>
    </r>
  </si>
  <si>
    <t xml:space="preserve">빨래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</si>
  <si>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DejaVu Sans"/>
        <family val="2"/>
      </rPr>
      <t xml:space="preserve">끼당 식비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일당 </t>
    </r>
    <r>
      <rPr>
        <sz val="10"/>
        <color rgb="FF000000"/>
        <rFont val="맑은 고딕"/>
        <family val="0"/>
        <charset val="1"/>
      </rPr>
      <t xml:space="preserve">2.5</t>
    </r>
    <r>
      <rPr>
        <sz val="10"/>
        <color rgb="FF000000"/>
        <rFont val="DejaVu Sans"/>
        <family val="2"/>
      </rPr>
      <t xml:space="preserve">끼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</si>
  <si>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DejaVu Sans"/>
        <family val="2"/>
      </rPr>
      <t xml:space="preserve">부리또 </t>
    </r>
    <r>
      <rPr>
        <sz val="9"/>
        <color rgb="FF000000"/>
        <rFont val="맑은 고딕"/>
        <family val="0"/>
        <charset val="1"/>
      </rPr>
      <t xml:space="preserve">+ </t>
    </r>
    <r>
      <rPr>
        <sz val="9"/>
        <color rgb="FF000000"/>
        <rFont val="DejaVu Sans"/>
        <family val="2"/>
      </rPr>
      <t xml:space="preserve">구아바 주스</t>
    </r>
  </si>
  <si>
    <r>
      <rPr>
        <sz val="10"/>
        <color rgb="FF000000"/>
        <rFont val="DejaVu Sans"/>
        <family val="2"/>
      </rPr>
      <t xml:space="preserve">외식</t>
    </r>
    <r>
      <rPr>
        <sz val="10"/>
        <color rgb="FF000000"/>
        <rFont val="맑은 고딕"/>
        <family val="0"/>
        <charset val="1"/>
      </rPr>
      <t xml:space="preserve">:</t>
    </r>
    <r>
      <rPr>
        <sz val="10"/>
        <color rgb="FF000000"/>
        <rFont val="DejaVu Sans"/>
        <family val="2"/>
      </rPr>
      <t xml:space="preserve">요리 비율</t>
    </r>
  </si>
  <si>
    <r>
      <rPr>
        <i val="true"/>
        <sz val="8"/>
        <color rgb="FF888888"/>
        <rFont val="DejaVu Sans"/>
        <family val="2"/>
      </rPr>
      <t xml:space="preserve">목표</t>
    </r>
    <r>
      <rPr>
        <i val="true"/>
        <sz val="8"/>
        <color rgb="FF888888"/>
        <rFont val="맑은 고딕"/>
        <family val="0"/>
        <charset val="1"/>
      </rPr>
      <t xml:space="preserve">: H28</t>
    </r>
    <r>
      <rPr>
        <i val="true"/>
        <sz val="8"/>
        <color rgb="FF888888"/>
        <rFont val="DejaVu Sans"/>
        <family val="2"/>
      </rPr>
      <t xml:space="preserve">행 참고</t>
    </r>
  </si>
  <si>
    <r>
      <rPr>
        <sz val="9"/>
        <color rgb="FF000000"/>
        <rFont val="DejaVu Sans"/>
        <family val="2"/>
      </rPr>
      <t xml:space="preserve">골프 </t>
    </r>
    <r>
      <rPr>
        <sz val="9"/>
        <color rgb="FF000000"/>
        <rFont val="맑은 고딕"/>
        <family val="0"/>
        <charset val="1"/>
      </rPr>
      <t xml:space="preserve">(9</t>
    </r>
    <r>
      <rPr>
        <sz val="9"/>
        <color rgb="FF000000"/>
        <rFont val="DejaVu Sans"/>
        <family val="2"/>
      </rPr>
      <t xml:space="preserve">홀</t>
    </r>
    <r>
      <rPr>
        <sz val="9"/>
        <color rgb="FF000000"/>
        <rFont val="맑은 고딕"/>
        <family val="0"/>
        <charset val="1"/>
      </rPr>
      <t xml:space="preserve">)</t>
    </r>
  </si>
  <si>
    <t xml:space="preserve">사치품</t>
  </si>
  <si>
    <r>
      <rPr>
        <sz val="9"/>
        <color rgb="FF000000"/>
        <rFont val="DejaVu Sans"/>
        <family val="2"/>
      </rPr>
      <t xml:space="preserve">피자 </t>
    </r>
    <r>
      <rPr>
        <sz val="9"/>
        <color rgb="FF000000"/>
        <rFont val="맑은 고딕"/>
        <family val="0"/>
        <charset val="1"/>
      </rPr>
      <t xml:space="preserve">+ </t>
    </r>
    <r>
      <rPr>
        <sz val="9"/>
        <color rgb="FF000000"/>
        <rFont val="DejaVu Sans"/>
        <family val="2"/>
      </rPr>
      <t xml:space="preserve">콜라</t>
    </r>
  </si>
  <si>
    <t xml:space="preserve">계산 기준 일수</t>
  </si>
  <si>
    <t xml:space="preserve">← 매월 직접 입력</t>
  </si>
  <si>
    <t xml:space="preserve">굴 소스</t>
  </si>
  <si>
    <t xml:space="preserve">매콤소스</t>
  </si>
  <si>
    <t xml:space="preserve">목표</t>
  </si>
  <si>
    <t xml:space="preserve">진간장</t>
  </si>
  <si>
    <r>
      <rPr>
        <b val="true"/>
        <sz val="10"/>
        <color rgb="FF000000"/>
        <rFont val="DejaVu Sans"/>
        <family val="2"/>
      </rPr>
      <t xml:space="preserve">목표 </t>
    </r>
    <r>
      <rPr>
        <b val="true"/>
        <sz val="10"/>
        <color rgb="FF000000"/>
        <rFont val="맑은 고딕"/>
        <family val="0"/>
        <charset val="1"/>
      </rPr>
      <t xml:space="preserve">1</t>
    </r>
    <r>
      <rPr>
        <b val="true"/>
        <sz val="10"/>
        <color rgb="FF000000"/>
        <rFont val="DejaVu Sans"/>
        <family val="2"/>
      </rPr>
      <t xml:space="preserve">일당 식비</t>
    </r>
  </si>
  <si>
    <t xml:space="preserve">← 직접 입력</t>
  </si>
  <si>
    <t xml:space="preserve">참기름</t>
  </si>
  <si>
    <r>
      <rPr>
        <sz val="10"/>
        <color rgb="FF000000"/>
        <rFont val="DejaVu Sans"/>
        <family val="2"/>
      </rPr>
      <t xml:space="preserve">목표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DejaVu Sans"/>
        <family val="2"/>
      </rPr>
      <t xml:space="preserve">끼당 식비</t>
    </r>
  </si>
  <si>
    <t xml:space="preserve">짜파게티</t>
  </si>
  <si>
    <t xml:space="preserve">목표 외식 비율</t>
  </si>
  <si>
    <t xml:space="preserve">≤1</t>
  </si>
  <si>
    <t xml:space="preserve">EAA</t>
  </si>
  <si>
    <t xml:space="preserve">불닭볶음면</t>
  </si>
  <si>
    <t xml:space="preserve">은행 잔고</t>
  </si>
  <si>
    <t xml:space="preserve">노트</t>
  </si>
  <si>
    <t xml:space="preserve">스리라차 소스</t>
  </si>
  <si>
    <t xml:space="preserve">마요네즈</t>
  </si>
  <si>
    <r>
      <rPr>
        <sz val="10"/>
        <color rgb="FF000000"/>
        <rFont val="DejaVu Sans"/>
        <family val="2"/>
      </rPr>
      <t xml:space="preserve">남은 개월 수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예상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</si>
  <si>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개월</t>
  </si>
  <si>
    <t xml:space="preserve">nasal salt</t>
  </si>
  <si>
    <t xml:space="preserve">잔액 소진 예상일</t>
  </si>
  <si>
    <t xml:space="preserve">과자</t>
  </si>
  <si>
    <t xml:space="preserve">Meat &amp; Fries</t>
  </si>
  <si>
    <t xml:space="preserve">시미 밸리 왕복 기차</t>
  </si>
  <si>
    <r>
      <rPr>
        <sz val="10"/>
        <color rgb="FFFFFFFF"/>
        <rFont val="DejaVu Sans"/>
        <family val="2"/>
      </rPr>
      <t xml:space="preserve">금액 </t>
    </r>
    <r>
      <rPr>
        <sz val="10"/>
        <color rgb="FFFFFFFF"/>
        <rFont val="맑은 고딕"/>
        <family val="0"/>
        <charset val="1"/>
      </rPr>
      <t xml:space="preserve">($)</t>
    </r>
  </si>
  <si>
    <t xml:space="preserve">맥주</t>
  </si>
  <si>
    <t xml:space="preserve">치킨 버거</t>
  </si>
  <si>
    <t xml:space="preserve">식비</t>
  </si>
  <si>
    <t xml:space="preserve">계란</t>
  </si>
  <si>
    <t xml:space="preserve">Ruiz Family bakery</t>
  </si>
  <si>
    <t xml:space="preserve">밀크쉐이크</t>
  </si>
  <si>
    <t xml:space="preserve">기타</t>
  </si>
  <si>
    <r>
      <rPr>
        <sz val="9"/>
        <color rgb="FF000000"/>
        <rFont val="DejaVu Sans"/>
        <family val="2"/>
      </rPr>
      <t xml:space="preserve">기차표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DejaVu Sans"/>
        <family val="2"/>
      </rPr>
      <t xml:space="preserve">기차 잘못 타서</t>
    </r>
    <r>
      <rPr>
        <sz val="9"/>
        <color rgb="FF000000"/>
        <rFont val="맑은 고딕"/>
        <family val="0"/>
        <charset val="1"/>
      </rPr>
      <t xml:space="preserve">..)</t>
    </r>
  </si>
  <si>
    <r>
      <rPr>
        <sz val="9"/>
        <color rgb="FF000000"/>
        <rFont val="맑은 고딕"/>
        <family val="0"/>
        <charset val="1"/>
      </rPr>
      <t xml:space="preserve">Chop </t>
    </r>
    <r>
      <rPr>
        <sz val="9"/>
        <color rgb="FF000000"/>
        <rFont val="DejaVu Sans"/>
        <family val="2"/>
      </rPr>
      <t xml:space="preserve">치킨</t>
    </r>
  </si>
  <si>
    <t xml:space="preserve">몬스터 음료수</t>
  </si>
  <si>
    <t xml:space="preserve">골프</t>
  </si>
  <si>
    <t xml:space="preserve">닥터페퍼</t>
  </si>
  <si>
    <t xml:space="preserve">학교 준비물</t>
  </si>
  <si>
    <r>
      <rPr>
        <sz val="9"/>
        <color rgb="FF000000"/>
        <rFont val="맑은 고딕"/>
        <family val="0"/>
        <charset val="1"/>
      </rPr>
      <t xml:space="preserve">DTL</t>
    </r>
    <r>
      <rPr>
        <sz val="9"/>
        <color rgb="FF000000"/>
        <rFont val="DejaVu Sans"/>
        <family val="2"/>
      </rPr>
      <t xml:space="preserve">과 커피</t>
    </r>
  </si>
  <si>
    <r>
      <rPr>
        <sz val="9"/>
        <color rgb="FF000000"/>
        <rFont val="DejaVu Sans"/>
        <family val="2"/>
      </rPr>
      <t xml:space="preserve">아이스크림 </t>
    </r>
    <r>
      <rPr>
        <sz val="9"/>
        <color rgb="FF000000"/>
        <rFont val="맑은 고딕"/>
        <family val="0"/>
        <charset val="1"/>
      </rPr>
      <t xml:space="preserve">+ </t>
    </r>
    <r>
      <rPr>
        <sz val="9"/>
        <color rgb="FF000000"/>
        <rFont val="DejaVu Sans"/>
        <family val="2"/>
      </rPr>
      <t xml:space="preserve">세비체</t>
    </r>
  </si>
  <si>
    <t xml:space="preserve">맥도날드</t>
  </si>
  <si>
    <r>
      <rPr>
        <sz val="9"/>
        <color rgb="FF000000"/>
        <rFont val="DejaVu Sans"/>
        <family val="2"/>
      </rPr>
      <t xml:space="preserve">닭가슴살 </t>
    </r>
    <r>
      <rPr>
        <sz val="9"/>
        <color rgb="FF000000"/>
        <rFont val="맑은 고딕"/>
        <family val="0"/>
        <charset val="1"/>
      </rPr>
      <t xml:space="preserve">+ </t>
    </r>
    <r>
      <rPr>
        <sz val="9"/>
        <color rgb="FF000000"/>
        <rFont val="DejaVu Sans"/>
        <family val="2"/>
      </rPr>
      <t xml:space="preserve">바나나 </t>
    </r>
    <r>
      <rPr>
        <sz val="9"/>
        <color rgb="FF000000"/>
        <rFont val="맑은 고딕"/>
        <family val="0"/>
        <charset val="1"/>
      </rPr>
      <t xml:space="preserve">+ </t>
    </r>
    <r>
      <rPr>
        <sz val="9"/>
        <color rgb="FF000000"/>
        <rFont val="DejaVu Sans"/>
        <family val="2"/>
      </rPr>
      <t xml:space="preserve">오트밀</t>
    </r>
  </si>
  <si>
    <r>
      <rPr>
        <sz val="9"/>
        <color rgb="FF000000"/>
        <rFont val="DejaVu Sans"/>
        <family val="2"/>
      </rPr>
      <t xml:space="preserve">대파</t>
    </r>
    <r>
      <rPr>
        <sz val="9"/>
        <color rgb="FF000000"/>
        <rFont val="맑은 고딕"/>
        <family val="0"/>
        <charset val="1"/>
      </rPr>
      <t xml:space="preserve">+</t>
    </r>
    <r>
      <rPr>
        <sz val="9"/>
        <color rgb="FF000000"/>
        <rFont val="DejaVu Sans"/>
        <family val="2"/>
      </rPr>
      <t xml:space="preserve">마늘</t>
    </r>
  </si>
  <si>
    <t xml:space="preserve">쌀</t>
  </si>
  <si>
    <t xml:space="preserve">combo tacos</t>
  </si>
  <si>
    <t xml:space="preserve">잭이랑 다운타운</t>
  </si>
  <si>
    <t xml:space="preserve">축구화</t>
  </si>
  <si>
    <t xml:space="preserve">부리또</t>
  </si>
  <si>
    <r>
      <rPr>
        <sz val="9"/>
        <color rgb="FF000000"/>
        <rFont val="DejaVu Sans"/>
        <family val="2"/>
      </rPr>
      <t xml:space="preserve">오메가</t>
    </r>
    <r>
      <rPr>
        <sz val="9"/>
        <color rgb="FF000000"/>
        <rFont val="맑은 고딕"/>
        <family val="0"/>
        <charset val="1"/>
      </rPr>
      <t xml:space="preserve">3</t>
    </r>
  </si>
  <si>
    <t xml:space="preserve">치즈불닭</t>
  </si>
  <si>
    <t xml:space="preserve">시리얼</t>
  </si>
  <si>
    <t xml:space="preserve">양말</t>
  </si>
  <si>
    <t xml:space="preserve">마우스</t>
  </si>
  <si>
    <r>
      <rPr>
        <b val="true"/>
        <sz val="13"/>
        <color rgb="FFFFFFFF"/>
        <rFont val="DejaVu Sans"/>
        <family val="2"/>
      </rPr>
      <t xml:space="preserve">가계부 — </t>
    </r>
    <r>
      <rPr>
        <b val="true"/>
        <sz val="13"/>
        <color rgb="FFFFFFFF"/>
        <rFont val="맑은 고딕"/>
        <family val="0"/>
        <charset val="1"/>
      </rPr>
      <t xml:space="preserve">2025</t>
    </r>
    <r>
      <rPr>
        <b val="true"/>
        <sz val="13"/>
        <color rgb="FFFFFFFF"/>
        <rFont val="DejaVu Sans"/>
        <family val="2"/>
      </rPr>
      <t xml:space="preserve">년 </t>
    </r>
    <r>
      <rPr>
        <b val="true"/>
        <sz val="13"/>
        <color rgb="FFFFFFFF"/>
        <rFont val="맑은 고딕"/>
        <family val="0"/>
        <charset val="1"/>
      </rPr>
      <t xml:space="preserve">10</t>
    </r>
    <r>
      <rPr>
        <b val="true"/>
        <sz val="13"/>
        <color rgb="FFFFFFFF"/>
        <rFont val="DejaVu Sans"/>
        <family val="2"/>
      </rPr>
      <t xml:space="preserve">월</t>
    </r>
  </si>
  <si>
    <r>
      <rPr>
        <b val="true"/>
        <sz val="10"/>
        <color rgb="FF0000FF"/>
        <rFont val="맑은 고딕"/>
        <family val="0"/>
        <charset val="1"/>
      </rPr>
      <t xml:space="preserve">2025</t>
    </r>
    <r>
      <rPr>
        <b val="true"/>
        <sz val="10"/>
        <color rgb="FF0000FF"/>
        <rFont val="DejaVu Sans"/>
        <family val="2"/>
      </rPr>
      <t xml:space="preserve">년 </t>
    </r>
    <r>
      <rPr>
        <b val="true"/>
        <sz val="10"/>
        <color rgb="FF0000FF"/>
        <rFont val="맑은 고딕"/>
        <family val="0"/>
        <charset val="1"/>
      </rPr>
      <t xml:space="preserve">9</t>
    </r>
    <r>
      <rPr>
        <b val="true"/>
        <sz val="10"/>
        <color rgb="FF0000FF"/>
        <rFont val="DejaVu Sans"/>
        <family val="2"/>
      </rPr>
      <t xml:space="preserve">월</t>
    </r>
  </si>
  <si>
    <t xml:space="preserve">치즈</t>
  </si>
  <si>
    <t xml:space="preserve">우유</t>
  </si>
  <si>
    <t xml:space="preserve">Combo Tacos</t>
  </si>
  <si>
    <t xml:space="preserve">Chipotle</t>
  </si>
  <si>
    <t xml:space="preserve">donut</t>
  </si>
  <si>
    <t xml:space="preserve">california burrito</t>
  </si>
  <si>
    <t xml:space="preserve">커피</t>
  </si>
  <si>
    <t xml:space="preserve">문건인출</t>
  </si>
  <si>
    <t xml:space="preserve">관리비</t>
  </si>
  <si>
    <t xml:space="preserve">운전면허재시</t>
  </si>
  <si>
    <r>
      <rPr>
        <sz val="9"/>
        <color rgb="FF000000"/>
        <rFont val="DejaVu Sans"/>
        <family val="2"/>
      </rPr>
      <t xml:space="preserve">위스키</t>
    </r>
    <r>
      <rPr>
        <sz val="9"/>
        <color rgb="FF000000"/>
        <rFont val="맑은 고딕"/>
        <family val="0"/>
        <charset val="1"/>
      </rPr>
      <t xml:space="preserve">+</t>
    </r>
    <r>
      <rPr>
        <sz val="9"/>
        <color rgb="FF000000"/>
        <rFont val="DejaVu Sans"/>
        <family val="2"/>
      </rPr>
      <t xml:space="preserve">와인</t>
    </r>
  </si>
  <si>
    <t xml:space="preserve">윙스탑</t>
  </si>
  <si>
    <t xml:space="preserve">레드불</t>
  </si>
  <si>
    <t xml:space="preserve">이발</t>
  </si>
  <si>
    <t xml:space="preserve">판다 익스프래스</t>
  </si>
  <si>
    <t xml:space="preserve">이발소까지 택시</t>
  </si>
  <si>
    <r>
      <rPr>
        <sz val="9"/>
        <color rgb="FF000000"/>
        <rFont val="DejaVu Sans"/>
        <family val="2"/>
      </rPr>
      <t xml:space="preserve">계란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DejaVu Sans"/>
        <family val="2"/>
      </rPr>
      <t xml:space="preserve">과자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DejaVu Sans"/>
        <family val="2"/>
      </rPr>
      <t xml:space="preserve">베이컨</t>
    </r>
  </si>
  <si>
    <t xml:space="preserve">친구들이랑 외식</t>
  </si>
  <si>
    <r>
      <rPr>
        <sz val="9"/>
        <color rgb="FF000000"/>
        <rFont val="DejaVu Sans"/>
        <family val="2"/>
      </rPr>
      <t xml:space="preserve">친구들이랑 </t>
    </r>
    <r>
      <rPr>
        <sz val="9"/>
        <color rgb="FF000000"/>
        <rFont val="맑은 고딕"/>
        <family val="0"/>
        <charset val="1"/>
      </rPr>
      <t xml:space="preserve">6</t>
    </r>
    <r>
      <rPr>
        <sz val="9"/>
        <color rgb="FF000000"/>
        <rFont val="DejaVu Sans"/>
        <family val="2"/>
      </rPr>
      <t xml:space="preserve">인승 자전거</t>
    </r>
  </si>
  <si>
    <t xml:space="preserve">멜라토닌</t>
  </si>
  <si>
    <t xml:space="preserve">카페인 음료</t>
  </si>
  <si>
    <t xml:space="preserve">햄버거</t>
  </si>
  <si>
    <t xml:space="preserve">타코</t>
  </si>
  <si>
    <r>
      <rPr>
        <sz val="9"/>
        <color rgb="FF000000"/>
        <rFont val="DejaVu Sans"/>
        <family val="2"/>
      </rPr>
      <t xml:space="preserve">닭가슴살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DejaVu Sans"/>
        <family val="2"/>
      </rPr>
      <t xml:space="preserve">계란</t>
    </r>
  </si>
  <si>
    <r>
      <rPr>
        <sz val="9"/>
        <color rgb="FF000000"/>
        <rFont val="맑은 고딕"/>
        <family val="0"/>
        <charset val="1"/>
      </rPr>
      <t xml:space="preserve">Zack</t>
    </r>
    <r>
      <rPr>
        <sz val="9"/>
        <color rgb="FF000000"/>
        <rFont val="DejaVu Sans"/>
        <family val="2"/>
      </rPr>
      <t xml:space="preserve">이랑 다운타운</t>
    </r>
  </si>
  <si>
    <t xml:space="preserve">panda express</t>
  </si>
  <si>
    <t xml:space="preserve">에너지 드링크</t>
  </si>
  <si>
    <r>
      <rPr>
        <sz val="9"/>
        <color rgb="FF000000"/>
        <rFont val="DejaVu Sans"/>
        <family val="2"/>
      </rPr>
      <t xml:space="preserve">피자 </t>
    </r>
    <r>
      <rPr>
        <sz val="9"/>
        <color rgb="FF000000"/>
        <rFont val="맑은 고딕"/>
        <family val="0"/>
        <charset val="1"/>
      </rPr>
      <t xml:space="preserve">+ </t>
    </r>
    <r>
      <rPr>
        <sz val="9"/>
        <color rgb="FF000000"/>
        <rFont val="DejaVu Sans"/>
        <family val="2"/>
      </rPr>
      <t xml:space="preserve">도넛</t>
    </r>
  </si>
  <si>
    <t xml:space="preserve">책</t>
  </si>
  <si>
    <t xml:space="preserve">타이머</t>
  </si>
  <si>
    <t xml:space="preserve">아이스크림</t>
  </si>
  <si>
    <t xml:space="preserve">Zocalo's</t>
  </si>
  <si>
    <t xml:space="preserve">배달 앱 구독료</t>
  </si>
  <si>
    <r>
      <rPr>
        <sz val="9"/>
        <color rgb="FF000000"/>
        <rFont val="DejaVu Sans"/>
        <family val="2"/>
      </rPr>
      <t xml:space="preserve">피자 </t>
    </r>
    <r>
      <rPr>
        <sz val="9"/>
        <color rgb="FF000000"/>
        <rFont val="맑은 고딕"/>
        <family val="0"/>
        <charset val="1"/>
      </rPr>
      <t xml:space="preserve">+ </t>
    </r>
    <r>
      <rPr>
        <sz val="9"/>
        <color rgb="FF000000"/>
        <rFont val="DejaVu Sans"/>
        <family val="2"/>
      </rPr>
      <t xml:space="preserve">음료수</t>
    </r>
  </si>
  <si>
    <t xml:space="preserve">프란체스코랑 밥</t>
  </si>
  <si>
    <t xml:space="preserve">자전거 수리비</t>
  </si>
  <si>
    <t xml:space="preserve">super cucas</t>
  </si>
  <si>
    <t xml:space="preserve">wingstop</t>
  </si>
  <si>
    <t xml:space="preserve">에너지 음료</t>
  </si>
  <si>
    <r>
      <rPr>
        <b val="true"/>
        <sz val="13"/>
        <color rgb="FFFFFFFF"/>
        <rFont val="DejaVu Sans"/>
        <family val="2"/>
      </rPr>
      <t xml:space="preserve">가계부 — </t>
    </r>
    <r>
      <rPr>
        <b val="true"/>
        <sz val="13"/>
        <color rgb="FFFFFFFF"/>
        <rFont val="맑은 고딕"/>
        <family val="0"/>
        <charset val="1"/>
      </rPr>
      <t xml:space="preserve">2025</t>
    </r>
    <r>
      <rPr>
        <b val="true"/>
        <sz val="13"/>
        <color rgb="FFFFFFFF"/>
        <rFont val="DejaVu Sans"/>
        <family val="2"/>
      </rPr>
      <t xml:space="preserve">년 </t>
    </r>
    <r>
      <rPr>
        <b val="true"/>
        <sz val="13"/>
        <color rgb="FFFFFFFF"/>
        <rFont val="맑은 고딕"/>
        <family val="0"/>
        <charset val="1"/>
      </rPr>
      <t xml:space="preserve">11</t>
    </r>
    <r>
      <rPr>
        <b val="true"/>
        <sz val="13"/>
        <color rgb="FFFFFFFF"/>
        <rFont val="DejaVu Sans"/>
        <family val="2"/>
      </rPr>
      <t xml:space="preserve">월</t>
    </r>
  </si>
  <si>
    <t xml:space="preserve">시험지</t>
  </si>
  <si>
    <r>
      <rPr>
        <b val="true"/>
        <sz val="10"/>
        <color rgb="FF0000FF"/>
        <rFont val="맑은 고딕"/>
        <family val="0"/>
        <charset val="1"/>
      </rPr>
      <t xml:space="preserve">2025</t>
    </r>
    <r>
      <rPr>
        <b val="true"/>
        <sz val="10"/>
        <color rgb="FF0000FF"/>
        <rFont val="DejaVu Sans"/>
        <family val="2"/>
      </rPr>
      <t xml:space="preserve">년 </t>
    </r>
    <r>
      <rPr>
        <b val="true"/>
        <sz val="10"/>
        <color rgb="FF0000FF"/>
        <rFont val="맑은 고딕"/>
        <family val="0"/>
        <charset val="1"/>
      </rPr>
      <t xml:space="preserve">10</t>
    </r>
    <r>
      <rPr>
        <b val="true"/>
        <sz val="10"/>
        <color rgb="FF0000FF"/>
        <rFont val="DejaVu Sans"/>
        <family val="2"/>
      </rPr>
      <t xml:space="preserve">월</t>
    </r>
  </si>
  <si>
    <t xml:space="preserve">서브웨이</t>
  </si>
  <si>
    <t xml:space="preserve">토론토 비행기</t>
  </si>
  <si>
    <t xml:space="preserve">여행</t>
  </si>
  <si>
    <t xml:space="preserve">토론토 숙소</t>
  </si>
  <si>
    <r>
      <rPr>
        <sz val="9"/>
        <color rgb="FF000000"/>
        <rFont val="DejaVu Sans"/>
        <family val="2"/>
      </rPr>
      <t xml:space="preserve">도넛 </t>
    </r>
    <r>
      <rPr>
        <sz val="9"/>
        <color rgb="FF000000"/>
        <rFont val="맑은 고딕"/>
        <family val="0"/>
        <charset val="1"/>
      </rPr>
      <t xml:space="preserve">+ </t>
    </r>
    <r>
      <rPr>
        <sz val="9"/>
        <color rgb="FF000000"/>
        <rFont val="DejaVu Sans"/>
        <family val="2"/>
      </rPr>
      <t xml:space="preserve">커피 </t>
    </r>
    <r>
      <rPr>
        <sz val="9"/>
        <color rgb="FF000000"/>
        <rFont val="맑은 고딕"/>
        <family val="0"/>
        <charset val="1"/>
      </rPr>
      <t xml:space="preserve">(Kin's)</t>
    </r>
  </si>
  <si>
    <t xml:space="preserve">파에야</t>
  </si>
  <si>
    <t xml:space="preserve">에너지드링크</t>
  </si>
  <si>
    <t xml:space="preserve">Breakfast burrito</t>
  </si>
  <si>
    <t xml:space="preserve">DMV</t>
  </si>
  <si>
    <t xml:space="preserve">기차표</t>
  </si>
  <si>
    <t xml:space="preserve">사진촬영</t>
  </si>
  <si>
    <t xml:space="preserve">판다 익스프레스</t>
  </si>
  <si>
    <t xml:space="preserve">수퍼 쿠카</t>
  </si>
  <si>
    <t xml:space="preserve">택시비</t>
  </si>
  <si>
    <t xml:space="preserve">친구들이랑 산속 식당</t>
  </si>
  <si>
    <t xml:space="preserve">피자</t>
  </si>
  <si>
    <t xml:space="preserve">친구 주차비</t>
  </si>
  <si>
    <t xml:space="preserve">영화</t>
  </si>
  <si>
    <t xml:space="preserve">수퍼쿠카</t>
  </si>
  <si>
    <t xml:space="preserve">에어버스 예약</t>
  </si>
  <si>
    <t xml:space="preserve">Jim Coffee chat</t>
  </si>
  <si>
    <t xml:space="preserve">피자펍</t>
  </si>
  <si>
    <t xml:space="preserve">ventech</t>
  </si>
  <si>
    <t xml:space="preserve">supercucas</t>
  </si>
  <si>
    <t xml:space="preserve">몬스터</t>
  </si>
  <si>
    <r>
      <rPr>
        <sz val="9"/>
        <color rgb="FF000000"/>
        <rFont val="DejaVu Sans"/>
        <family val="2"/>
      </rPr>
      <t xml:space="preserve">수업 준비물 </t>
    </r>
    <r>
      <rPr>
        <sz val="9"/>
        <color rgb="FF000000"/>
        <rFont val="맑은 고딕"/>
        <family val="0"/>
        <charset val="1"/>
      </rPr>
      <t xml:space="preserve">+ </t>
    </r>
    <r>
      <rPr>
        <sz val="9"/>
        <color rgb="FF000000"/>
        <rFont val="DejaVu Sans"/>
        <family val="2"/>
      </rPr>
      <t xml:space="preserve">생필품</t>
    </r>
  </si>
  <si>
    <t xml:space="preserve">수업 준비물</t>
  </si>
  <si>
    <t xml:space="preserve">옷</t>
  </si>
  <si>
    <t xml:space="preserve">크레아틴</t>
  </si>
  <si>
    <t xml:space="preserve">도미노피자</t>
  </si>
  <si>
    <t xml:space="preserve">제산제</t>
  </si>
  <si>
    <t xml:space="preserve">비비드 소스 치킨</t>
  </si>
  <si>
    <t xml:space="preserve">감자튀김</t>
  </si>
  <si>
    <t xml:space="preserve">공항 과자</t>
  </si>
  <si>
    <t xml:space="preserve">토론토 기차</t>
  </si>
  <si>
    <t xml:space="preserve">팀 홀튼</t>
  </si>
  <si>
    <t xml:space="preserve">우버</t>
  </si>
  <si>
    <t xml:space="preserve">치킨샌드위치</t>
  </si>
  <si>
    <t xml:space="preserve">룰루레몬</t>
  </si>
  <si>
    <r>
      <rPr>
        <b val="true"/>
        <sz val="13"/>
        <color rgb="FFFFFFFF"/>
        <rFont val="DejaVu Sans"/>
        <family val="2"/>
      </rPr>
      <t xml:space="preserve">가계부 — </t>
    </r>
    <r>
      <rPr>
        <b val="true"/>
        <sz val="13"/>
        <color rgb="FFFFFFFF"/>
        <rFont val="맑은 고딕"/>
        <family val="0"/>
        <charset val="1"/>
      </rPr>
      <t xml:space="preserve">2025</t>
    </r>
    <r>
      <rPr>
        <b val="true"/>
        <sz val="13"/>
        <color rgb="FFFFFFFF"/>
        <rFont val="DejaVu Sans"/>
        <family val="2"/>
      </rPr>
      <t xml:space="preserve">년 </t>
    </r>
    <r>
      <rPr>
        <b val="true"/>
        <sz val="13"/>
        <color rgb="FFFFFFFF"/>
        <rFont val="맑은 고딕"/>
        <family val="0"/>
        <charset val="1"/>
      </rPr>
      <t xml:space="preserve">12</t>
    </r>
    <r>
      <rPr>
        <b val="true"/>
        <sz val="13"/>
        <color rgb="FFFFFFFF"/>
        <rFont val="DejaVu Sans"/>
        <family val="2"/>
      </rPr>
      <t xml:space="preserve">월</t>
    </r>
  </si>
  <si>
    <r>
      <rPr>
        <sz val="9"/>
        <color rgb="FF000000"/>
        <rFont val="DejaVu Sans"/>
        <family val="2"/>
      </rPr>
      <t xml:space="preserve">이불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DejaVu Sans"/>
        <family val="2"/>
      </rPr>
      <t xml:space="preserve">세제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DejaVu Sans"/>
        <family val="2"/>
      </rPr>
      <t xml:space="preserve">바디워시</t>
    </r>
  </si>
  <si>
    <r>
      <rPr>
        <b val="true"/>
        <sz val="10"/>
        <color rgb="FF0000FF"/>
        <rFont val="맑은 고딕"/>
        <family val="0"/>
        <charset val="1"/>
      </rPr>
      <t xml:space="preserve">2025</t>
    </r>
    <r>
      <rPr>
        <b val="true"/>
        <sz val="10"/>
        <color rgb="FF0000FF"/>
        <rFont val="DejaVu Sans"/>
        <family val="2"/>
      </rPr>
      <t xml:space="preserve">년 </t>
    </r>
    <r>
      <rPr>
        <b val="true"/>
        <sz val="10"/>
        <color rgb="FF0000FF"/>
        <rFont val="맑은 고딕"/>
        <family val="0"/>
        <charset val="1"/>
      </rPr>
      <t xml:space="preserve">11</t>
    </r>
    <r>
      <rPr>
        <b val="true"/>
        <sz val="10"/>
        <color rgb="FF0000FF"/>
        <rFont val="DejaVu Sans"/>
        <family val="2"/>
      </rPr>
      <t xml:space="preserve">월</t>
    </r>
  </si>
  <si>
    <t xml:space="preserve">불닭</t>
  </si>
  <si>
    <r>
      <rPr>
        <sz val="9"/>
        <color rgb="FF000000"/>
        <rFont val="DejaVu Sans"/>
        <family val="2"/>
      </rPr>
      <t xml:space="preserve">마리안 이불</t>
    </r>
    <r>
      <rPr>
        <sz val="9"/>
        <color rgb="FF000000"/>
        <rFont val="맑은 고딕"/>
        <family val="0"/>
        <charset val="1"/>
      </rPr>
      <t xml:space="preserve">+</t>
    </r>
    <r>
      <rPr>
        <sz val="9"/>
        <color rgb="FF000000"/>
        <rFont val="DejaVu Sans"/>
        <family val="2"/>
      </rPr>
      <t xml:space="preserve">알렉시스 레고</t>
    </r>
  </si>
  <si>
    <r>
      <rPr>
        <sz val="9"/>
        <color rgb="FF000000"/>
        <rFont val="DejaVu Sans"/>
        <family val="2"/>
      </rPr>
      <t xml:space="preserve">무선 충전기 </t>
    </r>
    <r>
      <rPr>
        <sz val="9"/>
        <color rgb="FF000000"/>
        <rFont val="맑은 고딕"/>
        <family val="0"/>
        <charset val="1"/>
      </rPr>
      <t xml:space="preserve">+ </t>
    </r>
    <r>
      <rPr>
        <sz val="9"/>
        <color rgb="FF000000"/>
        <rFont val="DejaVu Sans"/>
        <family val="2"/>
      </rPr>
      <t xml:space="preserve">바디 로션</t>
    </r>
  </si>
  <si>
    <t xml:space="preserve">소칼로</t>
  </si>
  <si>
    <t xml:space="preserve">쌀국수</t>
  </si>
  <si>
    <r>
      <rPr>
        <sz val="9"/>
        <color rgb="FF000000"/>
        <rFont val="맑은 고딕"/>
        <family val="0"/>
        <charset val="1"/>
      </rPr>
      <t xml:space="preserve">doordash </t>
    </r>
    <r>
      <rPr>
        <sz val="9"/>
        <color rgb="FF000000"/>
        <rFont val="DejaVu Sans"/>
        <family val="2"/>
      </rPr>
      <t xml:space="preserve">회원권</t>
    </r>
  </si>
  <si>
    <t xml:space="preserve">도미노 피자</t>
  </si>
  <si>
    <r>
      <rPr>
        <sz val="9"/>
        <color rgb="FF000000"/>
        <rFont val="DejaVu Sans"/>
        <family val="2"/>
      </rPr>
      <t xml:space="preserve">크러쉬 케잌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DejaVu Sans"/>
        <family val="2"/>
      </rPr>
      <t xml:space="preserve">아침밥</t>
    </r>
    <r>
      <rPr>
        <sz val="9"/>
        <color rgb="FF000000"/>
        <rFont val="맑은 고딕"/>
        <family val="0"/>
        <charset val="1"/>
      </rPr>
      <t xml:space="preserve">)</t>
    </r>
  </si>
  <si>
    <t xml:space="preserve">불고기 재료</t>
  </si>
  <si>
    <t xml:space="preserve">요시노야</t>
  </si>
  <si>
    <t xml:space="preserve">와인</t>
  </si>
  <si>
    <t xml:space="preserve">버블티</t>
  </si>
  <si>
    <t xml:space="preserve">휴대폰 요금</t>
  </si>
  <si>
    <t xml:space="preserve">축구 팀 신청</t>
  </si>
  <si>
    <r>
      <rPr>
        <sz val="9"/>
        <color rgb="FF000000"/>
        <rFont val="DejaVu Sans"/>
        <family val="2"/>
      </rPr>
      <t xml:space="preserve">딥시크 </t>
    </r>
    <r>
      <rPr>
        <sz val="9"/>
        <color rgb="FF000000"/>
        <rFont val="맑은 고딕"/>
        <family val="0"/>
        <charset val="1"/>
      </rPr>
      <t xml:space="preserve">api </t>
    </r>
    <r>
      <rPr>
        <sz val="9"/>
        <color rgb="FF000000"/>
        <rFont val="DejaVu Sans"/>
        <family val="2"/>
      </rPr>
      <t xml:space="preserve">충전</t>
    </r>
  </si>
  <si>
    <t xml:space="preserve">자기개발비</t>
  </si>
  <si>
    <r>
      <rPr>
        <b val="true"/>
        <sz val="13"/>
        <color rgb="FFFFFFFF"/>
        <rFont val="DejaVu Sans"/>
        <family val="2"/>
      </rPr>
      <t xml:space="preserve">가계부 — </t>
    </r>
    <r>
      <rPr>
        <b val="true"/>
        <sz val="13"/>
        <color rgb="FFFFFFFF"/>
        <rFont val="맑은 고딕"/>
        <family val="0"/>
        <charset val="1"/>
      </rPr>
      <t xml:space="preserve">2026</t>
    </r>
    <r>
      <rPr>
        <b val="true"/>
        <sz val="13"/>
        <color rgb="FFFFFFFF"/>
        <rFont val="DejaVu Sans"/>
        <family val="2"/>
      </rPr>
      <t xml:space="preserve">년 </t>
    </r>
    <r>
      <rPr>
        <b val="true"/>
        <sz val="13"/>
        <color rgb="FFFFFFFF"/>
        <rFont val="맑은 고딕"/>
        <family val="0"/>
        <charset val="1"/>
      </rPr>
      <t xml:space="preserve">1</t>
    </r>
    <r>
      <rPr>
        <b val="true"/>
        <sz val="13"/>
        <color rgb="FFFFFFFF"/>
        <rFont val="DejaVu Sans"/>
        <family val="2"/>
      </rPr>
      <t xml:space="preserve">월</t>
    </r>
  </si>
  <si>
    <r>
      <rPr>
        <sz val="9"/>
        <color rgb="FF000000"/>
        <rFont val="맑은 고딕"/>
        <family val="0"/>
        <charset val="1"/>
      </rPr>
      <t xml:space="preserve">zack</t>
    </r>
    <r>
      <rPr>
        <sz val="9"/>
        <color rgb="FF000000"/>
        <rFont val="DejaVu Sans"/>
        <family val="2"/>
      </rPr>
      <t xml:space="preserve">이랑 외식</t>
    </r>
  </si>
  <si>
    <r>
      <rPr>
        <b val="true"/>
        <sz val="10"/>
        <color rgb="FF0000FF"/>
        <rFont val="맑은 고딕"/>
        <family val="0"/>
        <charset val="1"/>
      </rPr>
      <t xml:space="preserve">2025</t>
    </r>
    <r>
      <rPr>
        <b val="true"/>
        <sz val="10"/>
        <color rgb="FF0000FF"/>
        <rFont val="DejaVu Sans"/>
        <family val="2"/>
      </rPr>
      <t xml:space="preserve">년 </t>
    </r>
    <r>
      <rPr>
        <b val="true"/>
        <sz val="10"/>
        <color rgb="FF0000FF"/>
        <rFont val="맑은 고딕"/>
        <family val="0"/>
        <charset val="1"/>
      </rPr>
      <t xml:space="preserve">12</t>
    </r>
    <r>
      <rPr>
        <b val="true"/>
        <sz val="10"/>
        <color rgb="FF0000FF"/>
        <rFont val="DejaVu Sans"/>
        <family val="2"/>
      </rPr>
      <t xml:space="preserve">월</t>
    </r>
  </si>
  <si>
    <t xml:space="preserve">샌드위치</t>
  </si>
  <si>
    <t xml:space="preserve">치킨 샌드위치</t>
  </si>
  <si>
    <r>
      <rPr>
        <sz val="9"/>
        <color rgb="FF000000"/>
        <rFont val="DejaVu Sans"/>
        <family val="2"/>
      </rPr>
      <t xml:space="preserve">마리안</t>
    </r>
    <r>
      <rPr>
        <sz val="9"/>
        <color rgb="FF000000"/>
        <rFont val="맑은 고딕"/>
        <family val="0"/>
        <charset val="1"/>
      </rPr>
      <t xml:space="preserve">_</t>
    </r>
    <r>
      <rPr>
        <sz val="9"/>
        <color rgb="FF000000"/>
        <rFont val="DejaVu Sans"/>
        <family val="2"/>
      </rPr>
      <t xml:space="preserve">선물</t>
    </r>
  </si>
  <si>
    <t xml:space="preserve">태국 음식</t>
  </si>
  <si>
    <r>
      <rPr>
        <sz val="9"/>
        <color rgb="FF000000"/>
        <rFont val="맑은 고딕"/>
        <family val="0"/>
        <charset val="1"/>
      </rPr>
      <t xml:space="preserve">super mex (</t>
    </r>
    <r>
      <rPr>
        <sz val="9"/>
        <color rgb="FF000000"/>
        <rFont val="DejaVu Sans"/>
        <family val="2"/>
      </rPr>
      <t xml:space="preserve">멕시칸 음식</t>
    </r>
    <r>
      <rPr>
        <sz val="9"/>
        <color rgb="FF000000"/>
        <rFont val="맑은 고딕"/>
        <family val="0"/>
        <charset val="1"/>
      </rPr>
      <t xml:space="preserve">)</t>
    </r>
  </si>
  <si>
    <t xml:space="preserve">부스터</t>
  </si>
  <si>
    <r>
      <rPr>
        <sz val="9"/>
        <color rgb="FF000000"/>
        <rFont val="DejaVu Sans"/>
        <family val="2"/>
      </rPr>
      <t xml:space="preserve">장보기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DejaVu Sans"/>
        <family val="2"/>
      </rPr>
      <t xml:space="preserve">코스트코</t>
    </r>
    <r>
      <rPr>
        <sz val="9"/>
        <color rgb="FF000000"/>
        <rFont val="맑은 고딕"/>
        <family val="0"/>
        <charset val="1"/>
      </rPr>
      <t xml:space="preserve">)</t>
    </r>
  </si>
  <si>
    <t xml:space="preserve">파스타 면</t>
  </si>
  <si>
    <t xml:space="preserve">고추장</t>
  </si>
  <si>
    <t xml:space="preserve">야채</t>
  </si>
  <si>
    <t xml:space="preserve">innout</t>
  </si>
  <si>
    <t xml:space="preserve">대파</t>
  </si>
  <si>
    <t xml:space="preserve">Boathouse</t>
  </si>
  <si>
    <t xml:space="preserve">위스키</t>
  </si>
  <si>
    <t xml:space="preserve">친구가 밥 사주는 대신 주차비 내줌</t>
  </si>
  <si>
    <r>
      <rPr>
        <sz val="9"/>
        <color rgb="FF000000"/>
        <rFont val="DejaVu Sans"/>
        <family val="2"/>
      </rPr>
      <t xml:space="preserve">렌즈 할부 </t>
    </r>
    <r>
      <rPr>
        <sz val="9"/>
        <color rgb="FF000000"/>
        <rFont val="맑은 고딕"/>
        <family val="0"/>
        <charset val="1"/>
      </rPr>
      <t xml:space="preserve">(880/2)</t>
    </r>
  </si>
  <si>
    <t xml:space="preserve">니카 라멘</t>
  </si>
  <si>
    <t xml:space="preserve">충전기랑 소스 실링기</t>
  </si>
  <si>
    <t xml:space="preserve">Subway Sandwich</t>
  </si>
  <si>
    <t xml:space="preserve">Breakfast burritos</t>
  </si>
  <si>
    <t xml:space="preserve">Monster Energy Drink</t>
  </si>
  <si>
    <t xml:space="preserve">Dubai Chocolate</t>
  </si>
  <si>
    <t xml:space="preserve">Pizza</t>
  </si>
  <si>
    <t xml:space="preserve">Boba</t>
  </si>
  <si>
    <t xml:space="preserve">컴퓨터</t>
  </si>
  <si>
    <t xml:space="preserve">domino's</t>
  </si>
  <si>
    <t xml:space="preserve">키보드랑 마우스</t>
  </si>
  <si>
    <r>
      <rPr>
        <b val="true"/>
        <sz val="13"/>
        <color rgb="FFFFFFFF"/>
        <rFont val="DejaVu Sans"/>
        <family val="2"/>
      </rPr>
      <t xml:space="preserve">가계부 — </t>
    </r>
    <r>
      <rPr>
        <b val="true"/>
        <sz val="13"/>
        <color rgb="FFFFFFFF"/>
        <rFont val="맑은 고딕"/>
        <family val="0"/>
        <charset val="1"/>
      </rPr>
      <t xml:space="preserve">2026</t>
    </r>
    <r>
      <rPr>
        <b val="true"/>
        <sz val="13"/>
        <color rgb="FFFFFFFF"/>
        <rFont val="DejaVu Sans"/>
        <family val="2"/>
      </rPr>
      <t xml:space="preserve">년 </t>
    </r>
    <r>
      <rPr>
        <b val="true"/>
        <sz val="13"/>
        <color rgb="FFFFFFFF"/>
        <rFont val="맑은 고딕"/>
        <family val="0"/>
        <charset val="1"/>
      </rPr>
      <t xml:space="preserve">2</t>
    </r>
    <r>
      <rPr>
        <b val="true"/>
        <sz val="13"/>
        <color rgb="FFFFFFFF"/>
        <rFont val="DejaVu Sans"/>
        <family val="2"/>
      </rPr>
      <t xml:space="preserve">월</t>
    </r>
  </si>
  <si>
    <t xml:space="preserve">카메라 렌즈 할부</t>
  </si>
  <si>
    <r>
      <rPr>
        <b val="true"/>
        <sz val="10"/>
        <color rgb="FF0000FF"/>
        <rFont val="맑은 고딕"/>
        <family val="0"/>
        <charset val="1"/>
      </rPr>
      <t xml:space="preserve">2026</t>
    </r>
    <r>
      <rPr>
        <b val="true"/>
        <sz val="10"/>
        <color rgb="FF0000FF"/>
        <rFont val="DejaVu Sans"/>
        <family val="2"/>
      </rPr>
      <t xml:space="preserve">년 </t>
    </r>
    <r>
      <rPr>
        <b val="true"/>
        <sz val="10"/>
        <color rgb="FF0000FF"/>
        <rFont val="맑은 고딕"/>
        <family val="0"/>
        <charset val="1"/>
      </rPr>
      <t xml:space="preserve">1</t>
    </r>
    <r>
      <rPr>
        <b val="true"/>
        <sz val="10"/>
        <color rgb="FF0000FF"/>
        <rFont val="DejaVu Sans"/>
        <family val="2"/>
      </rPr>
      <t xml:space="preserve">월</t>
    </r>
  </si>
  <si>
    <t xml:space="preserve">Panda Express</t>
  </si>
  <si>
    <t xml:space="preserve">paper towels</t>
  </si>
  <si>
    <t xml:space="preserve">Zero Pepsi</t>
  </si>
  <si>
    <t xml:space="preserve">사치 음식</t>
  </si>
  <si>
    <t xml:space="preserve">French Fries</t>
  </si>
  <si>
    <t xml:space="preserve">Corndogs</t>
  </si>
  <si>
    <t xml:space="preserve">Costco groceries</t>
  </si>
  <si>
    <t xml:space="preserve">Monster energy</t>
  </si>
  <si>
    <t xml:space="preserve">chick fil a sauce</t>
  </si>
  <si>
    <t xml:space="preserve">multivitamin</t>
  </si>
  <si>
    <t xml:space="preserve">shampoo</t>
  </si>
  <si>
    <t xml:space="preserve">Whey Protein</t>
  </si>
  <si>
    <t xml:space="preserve">Zocalo</t>
  </si>
  <si>
    <r>
      <rPr>
        <sz val="9"/>
        <color rgb="FF000000"/>
        <rFont val="DejaVu Sans"/>
        <family val="2"/>
      </rPr>
      <t xml:space="preserve">대파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DejaVu Sans"/>
        <family val="2"/>
      </rPr>
      <t xml:space="preserve">바나나</t>
    </r>
  </si>
  <si>
    <t xml:space="preserve">Breakfast Burrito - Cuca's</t>
  </si>
  <si>
    <t xml:space="preserve">초콜릿</t>
  </si>
  <si>
    <t xml:space="preserve">Remarkable</t>
  </si>
  <si>
    <t xml:space="preserve">Movie</t>
  </si>
  <si>
    <t xml:space="preserve">remarkale case</t>
  </si>
  <si>
    <t xml:space="preserve">Catalina Scuba diving deposit</t>
  </si>
  <si>
    <t xml:space="preserve">Donuts</t>
  </si>
  <si>
    <t xml:space="preserve">Super Cuca's</t>
  </si>
  <si>
    <t xml:space="preserve">Ca Dario</t>
  </si>
  <si>
    <t xml:space="preserve">Spudnuts</t>
  </si>
  <si>
    <t xml:space="preserve">Laundry</t>
  </si>
  <si>
    <t xml:space="preserve">멕시코 비행기 예약</t>
  </si>
  <si>
    <t xml:space="preserve">치약</t>
  </si>
  <si>
    <t xml:space="preserve">Nasal Salt</t>
  </si>
  <si>
    <t xml:space="preserve">면도날</t>
  </si>
  <si>
    <t xml:space="preserve">휴대폰 비용</t>
  </si>
  <si>
    <r>
      <rPr>
        <b val="true"/>
        <sz val="13"/>
        <color rgb="FFFFFFFF"/>
        <rFont val="DejaVu Sans"/>
        <family val="2"/>
      </rPr>
      <t xml:space="preserve">가계부 — </t>
    </r>
    <r>
      <rPr>
        <b val="true"/>
        <sz val="13"/>
        <color rgb="FFFFFFFF"/>
        <rFont val="맑은 고딕"/>
        <family val="0"/>
        <charset val="1"/>
      </rPr>
      <t xml:space="preserve">2026</t>
    </r>
    <r>
      <rPr>
        <b val="true"/>
        <sz val="13"/>
        <color rgb="FFFFFFFF"/>
        <rFont val="DejaVu Sans"/>
        <family val="2"/>
      </rPr>
      <t xml:space="preserve">년 </t>
    </r>
    <r>
      <rPr>
        <b val="true"/>
        <sz val="13"/>
        <color rgb="FFFFFFFF"/>
        <rFont val="맑은 고딕"/>
        <family val="0"/>
        <charset val="1"/>
      </rPr>
      <t xml:space="preserve">3</t>
    </r>
    <r>
      <rPr>
        <b val="true"/>
        <sz val="13"/>
        <color rgb="FFFFFFFF"/>
        <rFont val="DejaVu Sans"/>
        <family val="2"/>
      </rPr>
      <t xml:space="preserve">월</t>
    </r>
  </si>
  <si>
    <t xml:space="preserve">멕시코 호텔 예약</t>
  </si>
  <si>
    <r>
      <rPr>
        <b val="true"/>
        <sz val="10"/>
        <color rgb="FF0000FF"/>
        <rFont val="맑은 고딕"/>
        <family val="0"/>
        <charset val="1"/>
      </rPr>
      <t xml:space="preserve">2026</t>
    </r>
    <r>
      <rPr>
        <b val="true"/>
        <sz val="10"/>
        <color rgb="FF0000FF"/>
        <rFont val="DejaVu Sans"/>
        <family val="2"/>
      </rPr>
      <t xml:space="preserve">년 </t>
    </r>
    <r>
      <rPr>
        <b val="true"/>
        <sz val="10"/>
        <color rgb="FF0000FF"/>
        <rFont val="맑은 고딕"/>
        <family val="0"/>
        <charset val="1"/>
      </rPr>
      <t xml:space="preserve">2</t>
    </r>
    <r>
      <rPr>
        <b val="true"/>
        <sz val="10"/>
        <color rgb="FF0000FF"/>
        <rFont val="DejaVu Sans"/>
        <family val="2"/>
      </rPr>
      <t xml:space="preserve">월</t>
    </r>
  </si>
  <si>
    <t xml:space="preserve">새 달 템플릿 — 사용법을 먼저 읽어주세요</t>
  </si>
  <si>
    <r>
      <rPr>
        <sz val="9"/>
        <color rgb="FF222222"/>
        <rFont val="DejaVu Sans"/>
        <family val="2"/>
      </rPr>
      <t xml:space="preserve">【 사용법 】
</t>
    </r>
    <r>
      <rPr>
        <sz val="9"/>
        <color rgb="FF222222"/>
        <rFont val="맑은 고딕"/>
        <family val="0"/>
        <charset val="1"/>
      </rPr>
      <t xml:space="preserve">1. </t>
    </r>
    <r>
      <rPr>
        <sz val="9"/>
        <color rgb="FF222222"/>
        <rFont val="DejaVu Sans"/>
        <family val="2"/>
      </rPr>
      <t xml:space="preserve">기존 월 탭</t>
    </r>
    <r>
      <rPr>
        <sz val="9"/>
        <color rgb="FF222222"/>
        <rFont val="맑은 고딕"/>
        <family val="0"/>
        <charset val="1"/>
      </rPr>
      <t xml:space="preserve">(</t>
    </r>
    <r>
      <rPr>
        <sz val="9"/>
        <color rgb="FF222222"/>
        <rFont val="DejaVu Sans"/>
        <family val="2"/>
      </rPr>
      <t xml:space="preserve">예</t>
    </r>
    <r>
      <rPr>
        <sz val="9"/>
        <color rgb="FF222222"/>
        <rFont val="맑은 고딕"/>
        <family val="0"/>
        <charset val="1"/>
      </rPr>
      <t xml:space="preserve">: "2026</t>
    </r>
    <r>
      <rPr>
        <sz val="9"/>
        <color rgb="FF222222"/>
        <rFont val="DejaVu Sans"/>
        <family val="2"/>
      </rPr>
      <t xml:space="preserve">년 </t>
    </r>
    <r>
      <rPr>
        <sz val="9"/>
        <color rgb="FF222222"/>
        <rFont val="맑은 고딕"/>
        <family val="0"/>
        <charset val="1"/>
      </rPr>
      <t xml:space="preserve">2</t>
    </r>
    <r>
      <rPr>
        <sz val="9"/>
        <color rgb="FF222222"/>
        <rFont val="DejaVu Sans"/>
        <family val="2"/>
      </rPr>
      <t xml:space="preserve">월</t>
    </r>
    <r>
      <rPr>
        <sz val="9"/>
        <color rgb="FF222222"/>
        <rFont val="맑은 고딕"/>
        <family val="0"/>
        <charset val="1"/>
      </rPr>
      <t xml:space="preserve">")</t>
    </r>
    <r>
      <rPr>
        <sz val="9"/>
        <color rgb="FF222222"/>
        <rFont val="DejaVu Sans"/>
        <family val="2"/>
      </rPr>
      <t xml:space="preserve">을 우클릭 → </t>
    </r>
    <r>
      <rPr>
        <sz val="9"/>
        <color rgb="FF222222"/>
        <rFont val="맑은 고딕"/>
        <family val="0"/>
        <charset val="1"/>
      </rPr>
      <t xml:space="preserve">"</t>
    </r>
    <r>
      <rPr>
        <sz val="9"/>
        <color rgb="FF222222"/>
        <rFont val="DejaVu Sans"/>
        <family val="2"/>
      </rPr>
      <t xml:space="preserve">이동</t>
    </r>
    <r>
      <rPr>
        <sz val="9"/>
        <color rgb="FF222222"/>
        <rFont val="맑은 고딕"/>
        <family val="0"/>
        <charset val="1"/>
      </rPr>
      <t xml:space="preserve">/</t>
    </r>
    <r>
      <rPr>
        <sz val="9"/>
        <color rgb="FF222222"/>
        <rFont val="DejaVu Sans"/>
        <family val="2"/>
      </rPr>
      <t xml:space="preserve">복사</t>
    </r>
    <r>
      <rPr>
        <sz val="9"/>
        <color rgb="FF222222"/>
        <rFont val="맑은 고딕"/>
        <family val="0"/>
        <charset val="1"/>
      </rPr>
      <t xml:space="preserve">" → "</t>
    </r>
    <r>
      <rPr>
        <sz val="9"/>
        <color rgb="FF222222"/>
        <rFont val="DejaVu Sans"/>
        <family val="2"/>
      </rPr>
      <t xml:space="preserve">복사본 만들기</t>
    </r>
    <r>
      <rPr>
        <sz val="9"/>
        <color rgb="FF222222"/>
        <rFont val="맑은 고딕"/>
        <family val="0"/>
        <charset val="1"/>
      </rPr>
      <t xml:space="preserve">" </t>
    </r>
    <r>
      <rPr>
        <sz val="9"/>
        <color rgb="FF222222"/>
        <rFont val="DejaVu Sans"/>
        <family val="2"/>
      </rPr>
      <t xml:space="preserve">체크 → 확인
</t>
    </r>
    <r>
      <rPr>
        <sz val="9"/>
        <color rgb="FF222222"/>
        <rFont val="맑은 고딕"/>
        <family val="0"/>
        <charset val="1"/>
      </rPr>
      <t xml:space="preserve">2. </t>
    </r>
    <r>
      <rPr>
        <sz val="9"/>
        <color rgb="FF222222"/>
        <rFont val="DejaVu Sans"/>
        <family val="2"/>
      </rPr>
      <t xml:space="preserve">새 탭 이름 변경 </t>
    </r>
    <r>
      <rPr>
        <sz val="9"/>
        <color rgb="FF222222"/>
        <rFont val="맑은 고딕"/>
        <family val="0"/>
        <charset val="1"/>
      </rPr>
      <t xml:space="preserve">(</t>
    </r>
    <r>
      <rPr>
        <sz val="9"/>
        <color rgb="FF222222"/>
        <rFont val="DejaVu Sans"/>
        <family val="2"/>
      </rPr>
      <t xml:space="preserve">예</t>
    </r>
    <r>
      <rPr>
        <sz val="9"/>
        <color rgb="FF222222"/>
        <rFont val="맑은 고딕"/>
        <family val="0"/>
        <charset val="1"/>
      </rPr>
      <t xml:space="preserve">: "2026</t>
    </r>
    <r>
      <rPr>
        <sz val="9"/>
        <color rgb="FF222222"/>
        <rFont val="DejaVu Sans"/>
        <family val="2"/>
      </rPr>
      <t xml:space="preserve">년 </t>
    </r>
    <r>
      <rPr>
        <sz val="9"/>
        <color rgb="FF222222"/>
        <rFont val="맑은 고딕"/>
        <family val="0"/>
        <charset val="1"/>
      </rPr>
      <t xml:space="preserve">4</t>
    </r>
    <r>
      <rPr>
        <sz val="9"/>
        <color rgb="FF222222"/>
        <rFont val="DejaVu Sans"/>
        <family val="2"/>
      </rPr>
      <t xml:space="preserve">월</t>
    </r>
    <r>
      <rPr>
        <sz val="9"/>
        <color rgb="FF222222"/>
        <rFont val="맑은 고딕"/>
        <family val="0"/>
        <charset val="1"/>
      </rPr>
      <t xml:space="preserve">")
3. </t>
    </r>
    <r>
      <rPr>
        <sz val="9"/>
        <color rgb="FF222222"/>
        <rFont val="DejaVu Sans"/>
        <family val="2"/>
      </rPr>
      <t xml:space="preserve">노란색 셀 </t>
    </r>
    <r>
      <rPr>
        <sz val="9"/>
        <color rgb="FF222222"/>
        <rFont val="맑은 고딕"/>
        <family val="0"/>
        <charset val="1"/>
      </rPr>
      <t xml:space="preserve">3</t>
    </r>
    <r>
      <rPr>
        <sz val="9"/>
        <color rgb="FF222222"/>
        <rFont val="DejaVu Sans"/>
        <family val="2"/>
      </rPr>
      <t xml:space="preserve">개만 업데이트</t>
    </r>
    <r>
      <rPr>
        <sz val="9"/>
        <color rgb="FF222222"/>
        <rFont val="맑은 고딕"/>
        <family val="0"/>
        <charset val="1"/>
      </rPr>
      <t xml:space="preserve">:
   • H2 — </t>
    </r>
    <r>
      <rPr>
        <sz val="9"/>
        <color rgb="FF222222"/>
        <rFont val="DejaVu Sans"/>
        <family val="2"/>
      </rPr>
      <t xml:space="preserve">이전 달 시트명 </t>
    </r>
    <r>
      <rPr>
        <sz val="9"/>
        <color rgb="FF222222"/>
        <rFont val="맑은 고딕"/>
        <family val="0"/>
        <charset val="1"/>
      </rPr>
      <t xml:space="preserve">(</t>
    </r>
    <r>
      <rPr>
        <sz val="9"/>
        <color rgb="FF222222"/>
        <rFont val="DejaVu Sans"/>
        <family val="2"/>
      </rPr>
      <t xml:space="preserve">예</t>
    </r>
    <r>
      <rPr>
        <sz val="9"/>
        <color rgb="FF222222"/>
        <rFont val="맑은 고딕"/>
        <family val="0"/>
        <charset val="1"/>
      </rPr>
      <t xml:space="preserve">: 2026</t>
    </r>
    <r>
      <rPr>
        <sz val="9"/>
        <color rgb="FF222222"/>
        <rFont val="DejaVu Sans"/>
        <family val="2"/>
      </rPr>
      <t xml:space="preserve">년 </t>
    </r>
    <r>
      <rPr>
        <sz val="9"/>
        <color rgb="FF222222"/>
        <rFont val="맑은 고딕"/>
        <family val="0"/>
        <charset val="1"/>
      </rPr>
      <t xml:space="preserve">3</t>
    </r>
    <r>
      <rPr>
        <sz val="9"/>
        <color rgb="FF222222"/>
        <rFont val="DejaVu Sans"/>
        <family val="2"/>
      </rPr>
      <t xml:space="preserve">월</t>
    </r>
    <r>
      <rPr>
        <sz val="9"/>
        <color rgb="FF222222"/>
        <rFont val="맑은 고딕"/>
        <family val="0"/>
        <charset val="1"/>
      </rPr>
      <t xml:space="preserve">)
   • H23 — </t>
    </r>
    <r>
      <rPr>
        <sz val="9"/>
        <color rgb="FF222222"/>
        <rFont val="DejaVu Sans"/>
        <family val="2"/>
      </rPr>
      <t xml:space="preserve">계산 기준 일수 </t>
    </r>
    <r>
      <rPr>
        <sz val="9"/>
        <color rgb="FF222222"/>
        <rFont val="맑은 고딕"/>
        <family val="0"/>
        <charset val="1"/>
      </rPr>
      <t xml:space="preserve">(</t>
    </r>
    <r>
      <rPr>
        <sz val="9"/>
        <color rgb="FF222222"/>
        <rFont val="DejaVu Sans"/>
        <family val="2"/>
      </rPr>
      <t xml:space="preserve">예</t>
    </r>
    <r>
      <rPr>
        <sz val="9"/>
        <color rgb="FF222222"/>
        <rFont val="맑은 고딕"/>
        <family val="0"/>
        <charset val="1"/>
      </rPr>
      <t xml:space="preserve">: 30)
   • H31 — </t>
    </r>
    <r>
      <rPr>
        <sz val="9"/>
        <color rgb="FF222222"/>
        <rFont val="DejaVu Sans"/>
        <family val="2"/>
      </rPr>
      <t xml:space="preserve">현재 은행 잔고
</t>
    </r>
    <r>
      <rPr>
        <sz val="9"/>
        <color rgb="FF222222"/>
        <rFont val="맑은 고딕"/>
        <family val="0"/>
        <charset val="1"/>
      </rPr>
      <t xml:space="preserve">4. A~D</t>
    </r>
    <r>
      <rPr>
        <sz val="9"/>
        <color rgb="FF222222"/>
        <rFont val="DejaVu Sans"/>
        <family val="2"/>
      </rPr>
      <t xml:space="preserve">열의 기존 거래 내역 삭제 후 새 달 입력 시작
   (E열 월 누적은 수식이므로 삭제하지 마세요</t>
    </r>
    <r>
      <rPr>
        <sz val="9"/>
        <color rgb="FF222222"/>
        <rFont val="맑은 고딕"/>
        <family val="0"/>
        <charset val="1"/>
      </rPr>
      <t xml:space="preserve">)</t>
    </r>
  </si>
  <si>
    <r>
      <rPr>
        <sz val="9"/>
        <color rgb="FF222222"/>
        <rFont val="DejaVu Sans"/>
        <family val="2"/>
      </rPr>
      <t xml:space="preserve">【 셀 색상 안내 】
노란 셀 </t>
    </r>
    <r>
      <rPr>
        <sz val="9"/>
        <color rgb="FF222222"/>
        <rFont val="맑은 고딕"/>
        <family val="0"/>
        <charset val="1"/>
      </rPr>
      <t xml:space="preserve">(</t>
    </r>
    <r>
      <rPr>
        <sz val="9"/>
        <color rgb="FF222222"/>
        <rFont val="DejaVu Sans"/>
        <family val="2"/>
      </rPr>
      <t xml:space="preserve">파란 글씨</t>
    </r>
    <r>
      <rPr>
        <sz val="9"/>
        <color rgb="FF222222"/>
        <rFont val="맑은 고딕"/>
        <family val="0"/>
        <charset val="1"/>
      </rPr>
      <t xml:space="preserve">) = </t>
    </r>
    <r>
      <rPr>
        <sz val="9"/>
        <color rgb="FF222222"/>
        <rFont val="DejaVu Sans"/>
        <family val="2"/>
      </rPr>
      <t xml:space="preserve">직접 입력
회색</t>
    </r>
    <r>
      <rPr>
        <sz val="9"/>
        <color rgb="FF222222"/>
        <rFont val="맑은 고딕"/>
        <family val="0"/>
        <charset val="1"/>
      </rPr>
      <t xml:space="preserve">/</t>
    </r>
    <r>
      <rPr>
        <sz val="9"/>
        <color rgb="FF222222"/>
        <rFont val="DejaVu Sans"/>
        <family val="2"/>
      </rPr>
      <t xml:space="preserve">흰색 셀 </t>
    </r>
    <r>
      <rPr>
        <sz val="9"/>
        <color rgb="FF222222"/>
        <rFont val="맑은 고딕"/>
        <family val="0"/>
        <charset val="1"/>
      </rPr>
      <t xml:space="preserve">= </t>
    </r>
    <r>
      <rPr>
        <sz val="9"/>
        <color rgb="FF222222"/>
        <rFont val="DejaVu Sans"/>
        <family val="2"/>
      </rPr>
      <t xml:space="preserve">수식 자동 계산
【 카테고리 목록 </t>
    </r>
    <r>
      <rPr>
        <sz val="9"/>
        <color rgb="FF222222"/>
        <rFont val="맑은 고딕"/>
        <family val="0"/>
        <charset val="1"/>
      </rPr>
      <t xml:space="preserve">(2026</t>
    </r>
    <r>
      <rPr>
        <sz val="9"/>
        <color rgb="FF222222"/>
        <rFont val="DejaVu Sans"/>
        <family val="2"/>
      </rPr>
      <t xml:space="preserve">년 </t>
    </r>
    <r>
      <rPr>
        <sz val="9"/>
        <color rgb="FF222222"/>
        <rFont val="맑은 고딕"/>
        <family val="0"/>
        <charset val="1"/>
      </rPr>
      <t xml:space="preserve">2</t>
    </r>
    <r>
      <rPr>
        <sz val="9"/>
        <color rgb="FF222222"/>
        <rFont val="DejaVu Sans"/>
        <family val="2"/>
      </rPr>
      <t xml:space="preserve">월 기준</t>
    </r>
    <r>
      <rPr>
        <sz val="9"/>
        <color rgb="FF222222"/>
        <rFont val="맑은 고딕"/>
        <family val="0"/>
        <charset val="1"/>
      </rPr>
      <t xml:space="preserve">) </t>
    </r>
    <r>
      <rPr>
        <sz val="9"/>
        <color rgb="FF222222"/>
        <rFont val="DejaVu Sans"/>
        <family val="2"/>
      </rPr>
      <t xml:space="preserve">】
  • 생필품
  • 식재료
  • 보조제
  • 교통비
  • 외식
  • 사치 음식
  • 사치품
  • 여행
  • 자기개발비
  • 기타 </t>
    </r>
    <r>
      <rPr>
        <sz val="9"/>
        <color rgb="FF222222"/>
        <rFont val="맑은 고딕"/>
        <family val="0"/>
        <charset val="1"/>
      </rPr>
      <t xml:space="preserve">(</t>
    </r>
    <r>
      <rPr>
        <sz val="9"/>
        <color rgb="FF222222"/>
        <rFont val="DejaVu Sans"/>
        <family val="2"/>
      </rPr>
      <t xml:space="preserve">자동 계산</t>
    </r>
    <r>
      <rPr>
        <sz val="9"/>
        <color rgb="FF222222"/>
        <rFont val="맑은 고딕"/>
        <family val="0"/>
        <charset val="1"/>
      </rPr>
      <t xml:space="preserve">)</t>
    </r>
  </si>
  <si>
    <r>
      <rPr>
        <b val="true"/>
        <sz val="9"/>
        <color rgb="FFCC0000"/>
        <rFont val="DejaVu Sans"/>
        <family val="2"/>
      </rPr>
      <t xml:space="preserve">⚠️  이 템플릿을 직접 복사하지 마세요</t>
    </r>
    <r>
      <rPr>
        <b val="true"/>
        <sz val="9"/>
        <color rgb="FFCC0000"/>
        <rFont val="맑은 고딕"/>
        <family val="0"/>
        <charset val="1"/>
      </rPr>
      <t xml:space="preserve">. </t>
    </r>
    <r>
      <rPr>
        <b val="true"/>
        <sz val="9"/>
        <color rgb="FFCC0000"/>
        <rFont val="DejaVu Sans"/>
        <family val="2"/>
      </rPr>
      <t xml:space="preserve">기존 월 시트를 복사하여 사용하세요</t>
    </r>
    <r>
      <rPr>
        <b val="true"/>
        <sz val="9"/>
        <color rgb="FFCC0000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</si>
</sst>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"/>
    <numFmt numFmtId="166" formatCode="0.00"/>
    <numFmt numFmtId="167" formatCode="0.0"/>
    <numFmt numFmtId="168" formatCode="yyyy\-mm\-dd"/>
    <numFmt numFmtId="169" formatCode="#,##0.00"/>
    <numFmt numFmtId="170" formatCode="0.0%;\(0.0%\);\-"/>
    <numFmt numFmtId="171" formatCode="0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DejaVu Sans"/>
      <family val="2"/>
    </font>
    <font>
      <b val="true"/>
      <sz val="14"/>
      <color rgb="FFFFFFFF"/>
      <name val="맑은 고딕"/>
      <family val="0"/>
      <charset val="1"/>
    </font>
    <font>
      <b val="true"/>
      <sz val="10"/>
      <color rgb="FFFFFFFF"/>
      <name val="DejaVu Sans"/>
      <family val="2"/>
    </font>
    <font>
      <b val="true"/>
      <sz val="10"/>
      <color rgb="FFFFFFFF"/>
      <name val="맑은 고딕"/>
      <family val="0"/>
      <charset val="1"/>
    </font>
    <font>
      <b val="true"/>
      <sz val="9"/>
      <color rgb="FF000000"/>
      <name val="DejaVu Sans"/>
      <family val="2"/>
    </font>
    <font>
      <b val="true"/>
      <sz val="9"/>
      <color rgb="FF000000"/>
      <name val="맑은 고딕"/>
      <family val="0"/>
      <charset val="1"/>
    </font>
    <font>
      <sz val="9"/>
      <color rgb="FF000000"/>
      <name val="DejaVu Sans"/>
      <family val="2"/>
    </font>
    <font>
      <sz val="9"/>
      <color rgb="FF000000"/>
      <name val="맑은 고딕"/>
      <family val="0"/>
      <charset val="1"/>
    </font>
    <font>
      <b val="true"/>
      <i val="true"/>
      <sz val="9"/>
      <color rgb="FF000000"/>
      <name val="DejaVu Sans"/>
      <family val="2"/>
    </font>
    <font>
      <b val="true"/>
      <sz val="13"/>
      <color rgb="FFFFFFFF"/>
      <name val="DejaVu Sans"/>
      <family val="2"/>
    </font>
    <font>
      <b val="true"/>
      <sz val="13"/>
      <color rgb="FFFFFFFF"/>
      <name val="맑은 고딕"/>
      <family val="0"/>
      <charset val="1"/>
    </font>
    <font>
      <b val="true"/>
      <sz val="10"/>
      <color rgb="FF0000FF"/>
      <name val="맑은 고딕"/>
      <family val="0"/>
      <charset val="1"/>
    </font>
    <font>
      <i val="true"/>
      <sz val="8"/>
      <color rgb="FF888888"/>
      <name val="DejaVu Sans"/>
      <family val="2"/>
    </font>
    <font>
      <b val="true"/>
      <sz val="9"/>
      <color rgb="FFFFFFFF"/>
      <name val="DejaVu Sans"/>
      <family val="2"/>
    </font>
    <font>
      <b val="true"/>
      <sz val="9"/>
      <color rgb="FFFFFFFF"/>
      <name val="맑은 고딕"/>
      <family val="0"/>
      <charset val="1"/>
    </font>
    <font>
      <b val="true"/>
      <sz val="10"/>
      <color rgb="FF000000"/>
      <name val="DejaVu Sans"/>
      <family val="2"/>
    </font>
    <font>
      <b val="true"/>
      <sz val="10"/>
      <color rgb="FF000000"/>
      <name val="맑은 고딕"/>
      <family val="0"/>
      <charset val="1"/>
    </font>
    <font>
      <sz val="10"/>
      <color rgb="FF000000"/>
      <name val="맑은 고딕"/>
      <family val="0"/>
      <charset val="1"/>
    </font>
    <font>
      <sz val="10"/>
      <color rgb="FF000000"/>
      <name val="DejaVu Sans"/>
      <family val="2"/>
    </font>
    <font>
      <i val="true"/>
      <sz val="8"/>
      <color rgb="FF888888"/>
      <name val="맑은 고딕"/>
      <family val="0"/>
      <charset val="1"/>
    </font>
    <font>
      <sz val="10"/>
      <color rgb="FFFFFFFF"/>
      <name val="DejaVu Sans"/>
      <family val="2"/>
    </font>
    <font>
      <sz val="10"/>
      <color rgb="FFFFFFFF"/>
      <name val="맑은 고딕"/>
      <family val="0"/>
      <charset val="1"/>
    </font>
    <font>
      <b val="true"/>
      <sz val="18"/>
      <color rgb="FF000000"/>
      <name val="DejaVu Sans"/>
      <family val="2"/>
    </font>
    <font>
      <sz val="10"/>
      <color rgb="FF000000"/>
      <name val="Calibri"/>
      <family val="2"/>
    </font>
    <font>
      <b val="true"/>
      <sz val="10"/>
      <color rgb="FF0000FF"/>
      <name val="DejaVu Sans"/>
      <family val="2"/>
    </font>
    <font>
      <sz val="9"/>
      <color rgb="FF222222"/>
      <name val="DejaVu Sans"/>
      <family val="2"/>
    </font>
    <font>
      <sz val="9"/>
      <color rgb="FF222222"/>
      <name val="맑은 고딕"/>
      <family val="0"/>
      <charset val="1"/>
    </font>
    <font>
      <b val="true"/>
      <sz val="9"/>
      <color rgb="FFCC0000"/>
      <name val="DejaVu Sans"/>
      <family val="2"/>
    </font>
    <font>
      <b val="true"/>
      <sz val="9"/>
      <color rgb="FFCC0000"/>
      <name val="맑은 고딕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1A5276"/>
      </patternFill>
    </fill>
    <fill>
      <patternFill patternType="solid">
        <fgColor rgb="FF2E75B6"/>
        <bgColor rgb="FF4672A8"/>
      </patternFill>
    </fill>
    <fill>
      <patternFill patternType="solid">
        <fgColor rgb="FFD6EAF8"/>
        <bgColor rgb="FFD5D8DC"/>
      </patternFill>
    </fill>
    <fill>
      <patternFill patternType="solid">
        <fgColor rgb="FFFFFFFF"/>
        <bgColor rgb="FFFEFAE0"/>
      </patternFill>
    </fill>
    <fill>
      <patternFill patternType="solid">
        <fgColor rgb="FFF2F2F2"/>
        <bgColor rgb="FFFEFAE0"/>
      </patternFill>
    </fill>
    <fill>
      <patternFill patternType="solid">
        <fgColor rgb="FFD5D8DC"/>
        <bgColor rgb="FFD9D9D9"/>
      </patternFill>
    </fill>
    <fill>
      <patternFill patternType="solid">
        <fgColor rgb="FFFFF9C4"/>
        <bgColor rgb="FFFEFAE0"/>
      </patternFill>
    </fill>
    <fill>
      <patternFill patternType="solid">
        <fgColor rgb="FF1A5276"/>
        <bgColor rgb="FF1F3864"/>
      </patternFill>
    </fill>
    <fill>
      <patternFill patternType="solid">
        <fgColor rgb="FFFEFAE0"/>
        <bgColor rgb="FFFFF9C4"/>
      </patternFill>
    </fill>
    <fill>
      <patternFill patternType="solid">
        <fgColor rgb="FFFFE0E0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0C0C0"/>
      </left>
      <right/>
      <top style="thin">
        <color rgb="FFC0C0C0"/>
      </top>
      <bottom style="thin">
        <color rgb="FFC0C0C0"/>
      </bottom>
      <diagonal/>
    </border>
    <border diagonalUp="false" diagonalDown="false"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1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1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0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21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1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21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1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21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1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5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1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1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1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1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0" fillId="6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6" borderId="2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6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5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5" borderId="2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5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64A2"/>
      <rgbColor rgb="FF800080"/>
      <rgbColor rgb="FF4F81BD"/>
      <rgbColor rgb="FFC0C0C0"/>
      <rgbColor rgb="FF888888"/>
      <rgbColor rgb="FF93A9CE"/>
      <rgbColor rgb="FFAB4744"/>
      <rgbColor rgb="FFFFF9C4"/>
      <rgbColor rgb="FFD6EAF8"/>
      <rgbColor rgb="FF660066"/>
      <rgbColor rgb="FFDC853E"/>
      <rgbColor rgb="FF4672A8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D9D9D9"/>
      <rgbColor rgb="FFFEFAE0"/>
      <rgbColor rgb="FF99CCFF"/>
      <rgbColor rgb="FFD09493"/>
      <rgbColor rgb="FFCC99FF"/>
      <rgbColor rgb="FFFFE0E0"/>
      <rgbColor rgb="FF2E75B6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1A5276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비율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bacc6"/>
              </a:solidFill>
              <a:ln w="0">
                <a:noFill/>
              </a:ln>
            </c:spPr>
          </c:dPt>
          <c:dPt>
            <c:idx val="5"/>
            <c:spPr>
              <a:solidFill>
                <a:srgbClr val="f79646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eparator>
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'2025년 9월'!$G$38:$G$43</c:f>
              <c:strCache>
                <c:ptCount val="6"/>
                <c:pt idx="0">
                  <c:v>생필품</c:v>
                </c:pt>
                <c:pt idx="1">
                  <c:v>식비</c:v>
                </c:pt>
                <c:pt idx="2">
                  <c:v>보조제</c:v>
                </c:pt>
                <c:pt idx="3">
                  <c:v>교통비</c:v>
                </c:pt>
                <c:pt idx="4">
                  <c:v>사치품</c:v>
                </c:pt>
                <c:pt idx="5">
                  <c:v>기타</c:v>
                </c:pt>
              </c:strCache>
            </c:strRef>
          </c:cat>
          <c:val>
            <c:numRef>
              <c:f>'2025년 9월'!$H$38:$H$43</c:f>
              <c:numCache>
                <c:formatCode>\$#,##0.00</c:formatCode>
                <c:ptCount val="6"/>
                <c:pt idx="0">
                  <c:v>674.26</c:v>
                </c:pt>
                <c:pt idx="1">
                  <c:v>581.94</c:v>
                </c:pt>
                <c:pt idx="2">
                  <c:v>53.48</c:v>
                </c:pt>
                <c:pt idx="3">
                  <c:v>91.96</c:v>
                </c:pt>
                <c:pt idx="4">
                  <c:v>363.75</c:v>
                </c:pt>
                <c:pt idx="5">
                  <c:v>22.6900000000001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비율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bacc6"/>
              </a:solidFill>
              <a:ln w="0">
                <a:noFill/>
              </a:ln>
            </c:spPr>
          </c:dPt>
          <c:dPt>
            <c:idx val="5"/>
            <c:spPr>
              <a:solidFill>
                <a:srgbClr val="f79646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eparator>
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'2025년 10월'!$G$38:$G$43</c:f>
              <c:strCache>
                <c:ptCount val="6"/>
                <c:pt idx="0">
                  <c:v>생필품</c:v>
                </c:pt>
                <c:pt idx="1">
                  <c:v>식비</c:v>
                </c:pt>
                <c:pt idx="2">
                  <c:v>보조제</c:v>
                </c:pt>
                <c:pt idx="3">
                  <c:v>교통비</c:v>
                </c:pt>
                <c:pt idx="4">
                  <c:v>사치품</c:v>
                </c:pt>
                <c:pt idx="5">
                  <c:v>기타</c:v>
                </c:pt>
              </c:strCache>
            </c:strRef>
          </c:cat>
          <c:val>
            <c:numRef>
              <c:f>'2025년 10월'!$H$38:$H$43</c:f>
              <c:numCache>
                <c:formatCode>\$#,##0.00</c:formatCode>
                <c:ptCount val="6"/>
                <c:pt idx="0">
                  <c:v>114.69</c:v>
                </c:pt>
                <c:pt idx="1">
                  <c:v>558.54</c:v>
                </c:pt>
                <c:pt idx="2">
                  <c:v>74.95</c:v>
                </c:pt>
                <c:pt idx="3">
                  <c:v>56.42</c:v>
                </c:pt>
                <c:pt idx="4">
                  <c:v>382.63</c:v>
                </c:pt>
                <c:pt idx="5">
                  <c:v>25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비율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eparator>
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'2025년 11월'!$G$38:$G$44</c:f>
              <c:strCache>
                <c:ptCount val="7"/>
                <c:pt idx="0">
                  <c:v>생필품</c:v>
                </c:pt>
                <c:pt idx="1">
                  <c:v>식비</c:v>
                </c:pt>
                <c:pt idx="2">
                  <c:v>보조제</c:v>
                </c:pt>
                <c:pt idx="3">
                  <c:v>교통비</c:v>
                </c:pt>
                <c:pt idx="4">
                  <c:v>사치품</c:v>
                </c:pt>
                <c:pt idx="5">
                  <c:v>여행</c:v>
                </c:pt>
                <c:pt idx="6">
                  <c:v>기타</c:v>
                </c:pt>
              </c:strCache>
            </c:strRef>
          </c:cat>
          <c:val>
            <c:numRef>
              <c:f>'2025년 11월'!$H$38:$H$44</c:f>
              <c:numCache>
                <c:formatCode>\$#,##0.00</c:formatCode>
                <c:ptCount val="7"/>
                <c:pt idx="0">
                  <c:v>302.2</c:v>
                </c:pt>
                <c:pt idx="1">
                  <c:v>490.68</c:v>
                </c:pt>
                <c:pt idx="2">
                  <c:v>88.74</c:v>
                </c:pt>
                <c:pt idx="3">
                  <c:v>384.81</c:v>
                </c:pt>
                <c:pt idx="4">
                  <c:v>204.94</c:v>
                </c:pt>
                <c:pt idx="5">
                  <c:v>972.61</c:v>
                </c:pt>
                <c:pt idx="6">
                  <c:v>16.1999999999998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비율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bacc6"/>
              </a:solidFill>
              <a:ln w="0">
                <a:noFill/>
              </a:ln>
            </c:spPr>
          </c:dPt>
          <c:dPt>
            <c:idx val="5"/>
            <c:spPr>
              <a:solidFill>
                <a:srgbClr val="f79646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eparator>
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'2025년 12월'!$G$38:$G$43</c:f>
              <c:strCache>
                <c:ptCount val="6"/>
                <c:pt idx="0">
                  <c:v>생필품</c:v>
                </c:pt>
                <c:pt idx="1">
                  <c:v>식비</c:v>
                </c:pt>
                <c:pt idx="2">
                  <c:v>보조제</c:v>
                </c:pt>
                <c:pt idx="3">
                  <c:v>교통비</c:v>
                </c:pt>
                <c:pt idx="4">
                  <c:v>사치품</c:v>
                </c:pt>
                <c:pt idx="5">
                  <c:v>자기개발비</c:v>
                </c:pt>
              </c:strCache>
            </c:strRef>
          </c:cat>
          <c:val>
            <c:numRef>
              <c:f>'2025년 12월'!$H$38:$H$43</c:f>
              <c:numCache>
                <c:formatCode>\$#,##0.00</c:formatCode>
                <c:ptCount val="6"/>
                <c:pt idx="0">
                  <c:v>137.89</c:v>
                </c:pt>
                <c:pt idx="1">
                  <c:v>193.58</c:v>
                </c:pt>
                <c:pt idx="2">
                  <c:v>30.8</c:v>
                </c:pt>
                <c:pt idx="3">
                  <c:v>52.22</c:v>
                </c:pt>
                <c:pt idx="4">
                  <c:v>152.9</c:v>
                </c:pt>
                <c:pt idx="5">
                  <c:v>21.2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비율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bacc6"/>
              </a:solidFill>
              <a:ln w="0">
                <a:noFill/>
              </a:ln>
            </c:spPr>
          </c:dPt>
          <c:dPt>
            <c:idx val="5"/>
            <c:spPr>
              <a:solidFill>
                <a:srgbClr val="f79646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eparator>
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'2026년 1월'!$G$38:$G$43</c:f>
              <c:strCache>
                <c:ptCount val="6"/>
                <c:pt idx="0">
                  <c:v>생필품</c:v>
                </c:pt>
                <c:pt idx="1">
                  <c:v>식비</c:v>
                </c:pt>
                <c:pt idx="2">
                  <c:v>보조제</c:v>
                </c:pt>
                <c:pt idx="3">
                  <c:v>교통비</c:v>
                </c:pt>
                <c:pt idx="4">
                  <c:v>사치품</c:v>
                </c:pt>
                <c:pt idx="5">
                  <c:v>자기개발비</c:v>
                </c:pt>
              </c:strCache>
            </c:strRef>
          </c:cat>
          <c:val>
            <c:numRef>
              <c:f>'2026년 1월'!$H$38:$H$43</c:f>
              <c:numCache>
                <c:formatCode>\$#,##0.00</c:formatCode>
                <c:ptCount val="6"/>
                <c:pt idx="0">
                  <c:v>71.48</c:v>
                </c:pt>
                <c:pt idx="1">
                  <c:v>698.5873</c:v>
                </c:pt>
                <c:pt idx="2">
                  <c:v>25.5</c:v>
                </c:pt>
                <c:pt idx="3">
                  <c:v>6</c:v>
                </c:pt>
                <c:pt idx="4">
                  <c:v>827.57</c:v>
                </c:pt>
                <c:pt idx="5">
                  <c:v>1405.6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비율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eparator>
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'2026년 2월'!$G$38:$G$45</c:f>
              <c:strCache>
                <c:ptCount val="8"/>
                <c:pt idx="0">
                  <c:v>생필품</c:v>
                </c:pt>
                <c:pt idx="1">
                  <c:v>식비</c:v>
                </c:pt>
                <c:pt idx="2">
                  <c:v>보조제</c:v>
                </c:pt>
                <c:pt idx="3">
                  <c:v>교통비</c:v>
                </c:pt>
                <c:pt idx="4">
                  <c:v>사치 음식</c:v>
                </c:pt>
                <c:pt idx="5">
                  <c:v>사치품</c:v>
                </c:pt>
                <c:pt idx="6">
                  <c:v>여행</c:v>
                </c:pt>
                <c:pt idx="7">
                  <c:v>자기개발비</c:v>
                </c:pt>
              </c:strCache>
            </c:strRef>
          </c:cat>
          <c:val>
            <c:numRef>
              <c:f>'2026년 2월'!$H$38:$H$45</c:f>
              <c:numCache>
                <c:formatCode>\$#,##0.00</c:formatCode>
                <c:ptCount val="8"/>
                <c:pt idx="0">
                  <c:v>194.9</c:v>
                </c:pt>
                <c:pt idx="1">
                  <c:v>373.26</c:v>
                </c:pt>
                <c:pt idx="2">
                  <c:v>62.46</c:v>
                </c:pt>
                <c:pt idx="3">
                  <c:v>8.98</c:v>
                </c:pt>
                <c:pt idx="4">
                  <c:v>116.03</c:v>
                </c:pt>
                <c:pt idx="5">
                  <c:v>604.75</c:v>
                </c:pt>
                <c:pt idx="6">
                  <c:v>668</c:v>
                </c:pt>
                <c:pt idx="7">
                  <c:v>510.04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비율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eparator>
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'2026년 3월'!$G$38</c:f>
              <c:strCache>
                <c:ptCount val="1"/>
                <c:pt idx="0">
                  <c:v>여행</c:v>
                </c:pt>
              </c:strCache>
            </c:strRef>
          </c:cat>
          <c:val>
            <c:numRef>
              <c:f>'2026년 3월'!$H$38</c:f>
              <c:numCache>
                <c:formatCode>\$#,##0.00</c:formatCode>
                <c:ptCount val="1"/>
                <c:pt idx="0">
                  <c:v>217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3</xdr:row>
      <xdr:rowOff>0</xdr:rowOff>
    </xdr:from>
    <xdr:to>
      <xdr:col>13</xdr:col>
      <xdr:colOff>415080</xdr:colOff>
      <xdr:row>10</xdr:row>
      <xdr:rowOff>57600</xdr:rowOff>
    </xdr:to>
    <xdr:graphicFrame>
      <xdr:nvGraphicFramePr>
        <xdr:cNvPr id="0" name="Chart 1"/>
        <xdr:cNvGraphicFramePr/>
      </xdr:nvGraphicFramePr>
      <xdr:xfrm>
        <a:off x="9598680" y="733320"/>
        <a:ext cx="2249640" cy="1391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3</xdr:row>
      <xdr:rowOff>0</xdr:rowOff>
    </xdr:from>
    <xdr:to>
      <xdr:col>13</xdr:col>
      <xdr:colOff>415080</xdr:colOff>
      <xdr:row>10</xdr:row>
      <xdr:rowOff>57600</xdr:rowOff>
    </xdr:to>
    <xdr:graphicFrame>
      <xdr:nvGraphicFramePr>
        <xdr:cNvPr id="1" name="Chart 1"/>
        <xdr:cNvGraphicFramePr/>
      </xdr:nvGraphicFramePr>
      <xdr:xfrm>
        <a:off x="9598680" y="733320"/>
        <a:ext cx="2249640" cy="1391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3</xdr:row>
      <xdr:rowOff>0</xdr:rowOff>
    </xdr:from>
    <xdr:to>
      <xdr:col>13</xdr:col>
      <xdr:colOff>415080</xdr:colOff>
      <xdr:row>10</xdr:row>
      <xdr:rowOff>57600</xdr:rowOff>
    </xdr:to>
    <xdr:graphicFrame>
      <xdr:nvGraphicFramePr>
        <xdr:cNvPr id="2" name="Chart 1"/>
        <xdr:cNvGraphicFramePr/>
      </xdr:nvGraphicFramePr>
      <xdr:xfrm>
        <a:off x="9598680" y="733320"/>
        <a:ext cx="2249640" cy="1391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3</xdr:row>
      <xdr:rowOff>0</xdr:rowOff>
    </xdr:from>
    <xdr:to>
      <xdr:col>13</xdr:col>
      <xdr:colOff>415080</xdr:colOff>
      <xdr:row>10</xdr:row>
      <xdr:rowOff>57600</xdr:rowOff>
    </xdr:to>
    <xdr:graphicFrame>
      <xdr:nvGraphicFramePr>
        <xdr:cNvPr id="3" name="Chart 1"/>
        <xdr:cNvGraphicFramePr/>
      </xdr:nvGraphicFramePr>
      <xdr:xfrm>
        <a:off x="9598680" y="733320"/>
        <a:ext cx="2249640" cy="1391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3</xdr:row>
      <xdr:rowOff>0</xdr:rowOff>
    </xdr:from>
    <xdr:to>
      <xdr:col>13</xdr:col>
      <xdr:colOff>415080</xdr:colOff>
      <xdr:row>10</xdr:row>
      <xdr:rowOff>57600</xdr:rowOff>
    </xdr:to>
    <xdr:graphicFrame>
      <xdr:nvGraphicFramePr>
        <xdr:cNvPr id="4" name="Chart 1"/>
        <xdr:cNvGraphicFramePr/>
      </xdr:nvGraphicFramePr>
      <xdr:xfrm>
        <a:off x="9598680" y="733320"/>
        <a:ext cx="2249640" cy="1391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3</xdr:row>
      <xdr:rowOff>0</xdr:rowOff>
    </xdr:from>
    <xdr:to>
      <xdr:col>13</xdr:col>
      <xdr:colOff>415080</xdr:colOff>
      <xdr:row>10</xdr:row>
      <xdr:rowOff>57600</xdr:rowOff>
    </xdr:to>
    <xdr:graphicFrame>
      <xdr:nvGraphicFramePr>
        <xdr:cNvPr id="5" name="Chart 1"/>
        <xdr:cNvGraphicFramePr/>
      </xdr:nvGraphicFramePr>
      <xdr:xfrm>
        <a:off x="9598680" y="733320"/>
        <a:ext cx="2249640" cy="1391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3</xdr:row>
      <xdr:rowOff>0</xdr:rowOff>
    </xdr:from>
    <xdr:to>
      <xdr:col>13</xdr:col>
      <xdr:colOff>415080</xdr:colOff>
      <xdr:row>10</xdr:row>
      <xdr:rowOff>57600</xdr:rowOff>
    </xdr:to>
    <xdr:graphicFrame>
      <xdr:nvGraphicFramePr>
        <xdr:cNvPr id="6" name="Chart 1"/>
        <xdr:cNvGraphicFramePr/>
      </xdr:nvGraphicFramePr>
      <xdr:xfrm>
        <a:off x="9598680" y="733320"/>
        <a:ext cx="2249640" cy="1391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6"/>
    <col collapsed="false" customWidth="true" hidden="false" outlineLevel="0" max="9" min="2" style="0" width="14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</row>
    <row r="3" customFormat="false" ht="15" hidden="false" customHeight="false" outlineLevel="0" collapsed="false">
      <c r="A3" s="4" t="s">
        <v>9</v>
      </c>
      <c r="B3" s="5" t="n">
        <f aca="false">'2025년 9월'!H5</f>
        <v>1788.08</v>
      </c>
      <c r="C3" s="5" t="n">
        <f aca="false">'2025년 10월'!H5</f>
        <v>1212.23</v>
      </c>
      <c r="D3" s="5" t="n">
        <f aca="false">'2025년 11월'!H5</f>
        <v>2460.18</v>
      </c>
      <c r="E3" s="5" t="n">
        <f aca="false">'2025년 12월'!H5</f>
        <v>588.59</v>
      </c>
      <c r="F3" s="5" t="n">
        <f aca="false">'2026년 1월'!H5</f>
        <v>3034.7373</v>
      </c>
      <c r="G3" s="5" t="n">
        <f aca="false">'2026년 2월'!H5</f>
        <v>2538.42</v>
      </c>
      <c r="H3" s="5" t="n">
        <f aca="false">'2026년 3월'!H5</f>
        <v>217</v>
      </c>
    </row>
    <row r="4" customFormat="false" ht="15" hidden="false" customHeight="false" outlineLevel="0" collapsed="false">
      <c r="A4" s="6" t="s">
        <v>10</v>
      </c>
      <c r="B4" s="7" t="n">
        <f aca="false">'2025년 9월'!H6</f>
        <v>674.26</v>
      </c>
      <c r="C4" s="7" t="n">
        <f aca="false">'2025년 10월'!H6</f>
        <v>114.69</v>
      </c>
      <c r="D4" s="7" t="n">
        <f aca="false">'2025년 11월'!H6</f>
        <v>302.2</v>
      </c>
      <c r="E4" s="7" t="n">
        <f aca="false">'2025년 12월'!H6</f>
        <v>137.89</v>
      </c>
      <c r="F4" s="7" t="n">
        <f aca="false">'2026년 1월'!H6</f>
        <v>71.48</v>
      </c>
      <c r="G4" s="7" t="n">
        <f aca="false">'2026년 2월'!H6</f>
        <v>194.9</v>
      </c>
      <c r="H4" s="7" t="n">
        <f aca="false">'2026년 3월'!H6</f>
        <v>0</v>
      </c>
    </row>
    <row r="5" customFormat="false" ht="15" hidden="false" customHeight="false" outlineLevel="0" collapsed="false">
      <c r="A5" s="8" t="s">
        <v>11</v>
      </c>
      <c r="B5" s="9" t="n">
        <f aca="false">'2025년 9월'!H7</f>
        <v>316.8</v>
      </c>
      <c r="C5" s="9" t="n">
        <f aca="false">'2025년 10월'!H7</f>
        <v>228.2</v>
      </c>
      <c r="D5" s="9" t="n">
        <f aca="false">'2025년 11월'!H7</f>
        <v>42.98</v>
      </c>
      <c r="E5" s="9" t="n">
        <f aca="false">'2025년 12월'!H7</f>
        <v>59.28</v>
      </c>
      <c r="F5" s="9" t="n">
        <f aca="false">'2026년 1월'!H7</f>
        <v>171.91</v>
      </c>
      <c r="G5" s="9" t="n">
        <f aca="false">'2026년 2월'!H7</f>
        <v>187.46</v>
      </c>
      <c r="H5" s="9" t="n">
        <f aca="false">'2026년 3월'!H7</f>
        <v>0</v>
      </c>
    </row>
    <row r="6" customFormat="false" ht="15" hidden="false" customHeight="false" outlineLevel="0" collapsed="false">
      <c r="A6" s="6" t="s">
        <v>12</v>
      </c>
      <c r="B6" s="7" t="n">
        <f aca="false">'2025년 9월'!H8</f>
        <v>53.48</v>
      </c>
      <c r="C6" s="7" t="n">
        <f aca="false">'2025년 10월'!H8</f>
        <v>74.95</v>
      </c>
      <c r="D6" s="7" t="n">
        <f aca="false">'2025년 11월'!H8</f>
        <v>88.74</v>
      </c>
      <c r="E6" s="7" t="n">
        <f aca="false">'2025년 12월'!H8</f>
        <v>30.8</v>
      </c>
      <c r="F6" s="7" t="n">
        <f aca="false">'2026년 1월'!H8</f>
        <v>25.5</v>
      </c>
      <c r="G6" s="7" t="n">
        <f aca="false">'2026년 2월'!H8</f>
        <v>62.46</v>
      </c>
      <c r="H6" s="7" t="n">
        <f aca="false">'2026년 3월'!H8</f>
        <v>0</v>
      </c>
    </row>
    <row r="7" customFormat="false" ht="15" hidden="false" customHeight="false" outlineLevel="0" collapsed="false">
      <c r="A7" s="8" t="s">
        <v>13</v>
      </c>
      <c r="B7" s="9" t="n">
        <f aca="false">'2025년 9월'!H9</f>
        <v>91.96</v>
      </c>
      <c r="C7" s="9" t="n">
        <f aca="false">'2025년 10월'!H9</f>
        <v>56.42</v>
      </c>
      <c r="D7" s="9" t="n">
        <f aca="false">'2025년 11월'!H9</f>
        <v>384.81</v>
      </c>
      <c r="E7" s="9" t="n">
        <f aca="false">'2025년 12월'!H9</f>
        <v>52.22</v>
      </c>
      <c r="F7" s="9" t="n">
        <f aca="false">'2026년 1월'!H9</f>
        <v>6</v>
      </c>
      <c r="G7" s="9" t="n">
        <f aca="false">'2026년 2월'!H9</f>
        <v>8.98</v>
      </c>
      <c r="H7" s="9" t="n">
        <f aca="false">'2026년 3월'!H9</f>
        <v>0</v>
      </c>
    </row>
    <row r="8" customFormat="false" ht="15" hidden="false" customHeight="false" outlineLevel="0" collapsed="false">
      <c r="A8" s="6" t="s">
        <v>14</v>
      </c>
      <c r="B8" s="7" t="n">
        <f aca="false">'2025년 9월'!H10</f>
        <v>265.14</v>
      </c>
      <c r="C8" s="7" t="n">
        <f aca="false">'2025년 10월'!H10</f>
        <v>330.34</v>
      </c>
      <c r="D8" s="7" t="n">
        <f aca="false">'2025년 11월'!H10</f>
        <v>447.7</v>
      </c>
      <c r="E8" s="7" t="n">
        <f aca="false">'2025년 12월'!H10</f>
        <v>134.3</v>
      </c>
      <c r="F8" s="7" t="n">
        <f aca="false">'2026년 1월'!H10</f>
        <v>526.6773</v>
      </c>
      <c r="G8" s="7" t="n">
        <f aca="false">'2026년 2월'!H10</f>
        <v>185.8</v>
      </c>
      <c r="H8" s="7" t="n">
        <f aca="false">'2026년 3월'!H10</f>
        <v>0</v>
      </c>
    </row>
    <row r="9" customFormat="false" ht="15" hidden="false" customHeight="false" outlineLevel="0" collapsed="false">
      <c r="A9" s="8" t="s">
        <v>15</v>
      </c>
      <c r="B9" s="9" t="n">
        <f aca="false">'2025년 9월'!H11</f>
        <v>0</v>
      </c>
      <c r="C9" s="9" t="n">
        <f aca="false">'2025년 10월'!H11</f>
        <v>0</v>
      </c>
      <c r="D9" s="9" t="n">
        <f aca="false">'2025년 11월'!H11</f>
        <v>0</v>
      </c>
      <c r="E9" s="9" t="n">
        <f aca="false">'2025년 12월'!H11</f>
        <v>0</v>
      </c>
      <c r="F9" s="9" t="n">
        <f aca="false">'2026년 1월'!H11</f>
        <v>0</v>
      </c>
      <c r="G9" s="9" t="n">
        <f aca="false">'2026년 2월'!H11</f>
        <v>116.03</v>
      </c>
      <c r="H9" s="9" t="n">
        <f aca="false">'2026년 3월'!H11</f>
        <v>0</v>
      </c>
    </row>
    <row r="10" customFormat="false" ht="15" hidden="false" customHeight="false" outlineLevel="0" collapsed="false">
      <c r="A10" s="6" t="s">
        <v>16</v>
      </c>
      <c r="B10" s="7" t="n">
        <f aca="false">'2025년 9월'!H12</f>
        <v>363.75</v>
      </c>
      <c r="C10" s="7" t="n">
        <f aca="false">'2025년 10월'!H12</f>
        <v>382.63</v>
      </c>
      <c r="D10" s="7" t="n">
        <f aca="false">'2025년 11월'!H12</f>
        <v>204.94</v>
      </c>
      <c r="E10" s="7" t="n">
        <f aca="false">'2025년 12월'!H12</f>
        <v>152.9</v>
      </c>
      <c r="F10" s="7" t="n">
        <f aca="false">'2026년 1월'!H12</f>
        <v>827.57</v>
      </c>
      <c r="G10" s="7" t="n">
        <f aca="false">'2026년 2월'!H12</f>
        <v>604.75</v>
      </c>
      <c r="H10" s="7" t="n">
        <f aca="false">'2026년 3월'!H12</f>
        <v>0</v>
      </c>
    </row>
    <row r="11" customFormat="false" ht="15" hidden="false" customHeight="false" outlineLevel="0" collapsed="false">
      <c r="A11" s="8" t="s">
        <v>17</v>
      </c>
      <c r="B11" s="9" t="n">
        <f aca="false">'2025년 9월'!H13</f>
        <v>0</v>
      </c>
      <c r="C11" s="9" t="n">
        <f aca="false">'2025년 10월'!H13</f>
        <v>0</v>
      </c>
      <c r="D11" s="9" t="n">
        <f aca="false">'2025년 11월'!H13</f>
        <v>972.61</v>
      </c>
      <c r="E11" s="9" t="n">
        <f aca="false">'2025년 12월'!H13</f>
        <v>0</v>
      </c>
      <c r="F11" s="9" t="n">
        <f aca="false">'2026년 1월'!H13</f>
        <v>0</v>
      </c>
      <c r="G11" s="9" t="n">
        <f aca="false">'2026년 2월'!H13</f>
        <v>668</v>
      </c>
      <c r="H11" s="9" t="n">
        <f aca="false">'2026년 3월'!H13</f>
        <v>217</v>
      </c>
    </row>
    <row r="12" customFormat="false" ht="15" hidden="false" customHeight="false" outlineLevel="0" collapsed="false">
      <c r="A12" s="6" t="s">
        <v>18</v>
      </c>
      <c r="B12" s="7" t="n">
        <f aca="false">'2025년 9월'!H14</f>
        <v>0</v>
      </c>
      <c r="C12" s="7" t="n">
        <f aca="false">'2025년 10월'!H14</f>
        <v>0</v>
      </c>
      <c r="D12" s="7" t="n">
        <f aca="false">'2025년 11월'!H14</f>
        <v>0</v>
      </c>
      <c r="E12" s="7" t="n">
        <f aca="false">'2025년 12월'!H14</f>
        <v>21.2</v>
      </c>
      <c r="F12" s="7" t="n">
        <f aca="false">'2026년 1월'!H14</f>
        <v>1405.6</v>
      </c>
      <c r="G12" s="7" t="n">
        <f aca="false">'2026년 2월'!H14</f>
        <v>510.04</v>
      </c>
      <c r="H12" s="7" t="n">
        <f aca="false">'2026년 3월'!H14</f>
        <v>0</v>
      </c>
    </row>
    <row r="13" customFormat="false" ht="15" hidden="false" customHeight="false" outlineLevel="0" collapsed="false">
      <c r="A13" s="8" t="s">
        <v>19</v>
      </c>
      <c r="B13" s="9" t="n">
        <f aca="false">'2025년 9월'!H15</f>
        <v>22.6900000000001</v>
      </c>
      <c r="C13" s="9" t="n">
        <f aca="false">'2025년 10월'!H15</f>
        <v>25</v>
      </c>
      <c r="D13" s="9" t="n">
        <f aca="false">'2025년 11월'!H15</f>
        <v>16.1999999999998</v>
      </c>
      <c r="E13" s="9" t="n">
        <f aca="false">'2025년 12월'!H15</f>
        <v>0</v>
      </c>
      <c r="F13" s="9" t="n">
        <f aca="false">'2026년 1월'!H15</f>
        <v>0</v>
      </c>
      <c r="G13" s="9" t="n">
        <f aca="false">'2026년 2월'!H15</f>
        <v>0</v>
      </c>
      <c r="H13" s="9" t="n">
        <f aca="false">'2026년 3월'!H15</f>
        <v>0</v>
      </c>
    </row>
    <row r="14" customFormat="false" ht="15" hidden="false" customHeight="false" outlineLevel="0" collapsed="false">
      <c r="A14" s="10" t="s">
        <v>20</v>
      </c>
      <c r="B14" s="11"/>
      <c r="C14" s="11"/>
      <c r="D14" s="11"/>
      <c r="E14" s="11"/>
      <c r="F14" s="11"/>
      <c r="G14" s="11"/>
      <c r="H14" s="11"/>
    </row>
    <row r="15" customFormat="false" ht="15" hidden="false" customHeight="false" outlineLevel="0" collapsed="false">
      <c r="A15" s="8" t="s">
        <v>21</v>
      </c>
      <c r="B15" s="9" t="n">
        <f aca="false">'2025년 9월'!H18</f>
        <v>581.94</v>
      </c>
      <c r="C15" s="9" t="n">
        <f aca="false">'2025년 10월'!H18</f>
        <v>558.54</v>
      </c>
      <c r="D15" s="9" t="n">
        <f aca="false">'2025년 11월'!H18</f>
        <v>490.68</v>
      </c>
      <c r="E15" s="9" t="n">
        <f aca="false">'2025년 12월'!H18</f>
        <v>193.58</v>
      </c>
      <c r="F15" s="9" t="n">
        <f aca="false">'2026년 1월'!H18</f>
        <v>698.5873</v>
      </c>
      <c r="G15" s="9" t="n">
        <f aca="false">'2026년 2월'!H18</f>
        <v>489.29</v>
      </c>
      <c r="H15" s="9" t="n">
        <f aca="false">'2026년 3월'!H18</f>
        <v>0</v>
      </c>
    </row>
    <row r="16" customFormat="false" ht="15" hidden="false" customHeight="false" outlineLevel="0" collapsed="false">
      <c r="A16" s="12" t="s">
        <v>22</v>
      </c>
      <c r="B16" s="7" t="n">
        <f aca="false">'2025년 9월'!H19</f>
        <v>18.7722580645161</v>
      </c>
      <c r="C16" s="7" t="n">
        <f aca="false">'2025년 10월'!H19</f>
        <v>18.0174193548387</v>
      </c>
      <c r="D16" s="7" t="n">
        <f aca="false">'2025년 11월'!H19</f>
        <v>16.356</v>
      </c>
      <c r="E16" s="7" t="n">
        <f aca="false">'2025년 12월'!H19</f>
        <v>17.5981818181818</v>
      </c>
      <c r="F16" s="7" t="n">
        <f aca="false">'2026년 1월'!H19</f>
        <v>22.5350741935484</v>
      </c>
      <c r="G16" s="7" t="n">
        <f aca="false">'2026년 2월'!H19</f>
        <v>17.4746428571429</v>
      </c>
      <c r="H16" s="7" t="n">
        <f aca="false">'2026년 3월'!H19</f>
        <v>0</v>
      </c>
    </row>
    <row r="17" customFormat="false" ht="15" hidden="false" customHeight="false" outlineLevel="0" collapsed="false">
      <c r="A17" s="13" t="s">
        <v>23</v>
      </c>
      <c r="B17" s="9" t="n">
        <f aca="false">'2025년 9월'!H20</f>
        <v>7.50890322580645</v>
      </c>
      <c r="C17" s="9" t="n">
        <f aca="false">'2025년 10월'!H20</f>
        <v>7.20696774193548</v>
      </c>
      <c r="D17" s="9" t="n">
        <f aca="false">'2025년 11월'!H20</f>
        <v>6.5424</v>
      </c>
      <c r="E17" s="9" t="n">
        <f aca="false">'2025년 12월'!H20</f>
        <v>7.03927272727273</v>
      </c>
      <c r="F17" s="9" t="n">
        <f aca="false">'2026년 1월'!H20</f>
        <v>9.01402967741936</v>
      </c>
      <c r="G17" s="9" t="n">
        <f aca="false">'2026년 2월'!H20</f>
        <v>6.98985714285714</v>
      </c>
      <c r="H17" s="9" t="n">
        <f aca="false">'2026년 3월'!H20</f>
        <v>0</v>
      </c>
    </row>
    <row r="18" customFormat="false" ht="15" hidden="false" customHeight="false" outlineLevel="0" collapsed="false">
      <c r="A18" s="6" t="s">
        <v>24</v>
      </c>
      <c r="B18" s="14" t="n">
        <f aca="false">'2025년 9월'!H21</f>
        <v>0.836931818181818</v>
      </c>
      <c r="C18" s="14" t="n">
        <f aca="false">'2025년 10월'!H21</f>
        <v>1.4475898334794</v>
      </c>
      <c r="D18" s="14" t="n">
        <f aca="false">'2025년 11월'!H21</f>
        <v>10.4164727780363</v>
      </c>
      <c r="E18" s="14" t="n">
        <f aca="false">'2025년 12월'!H21</f>
        <v>2.26551956815115</v>
      </c>
      <c r="F18" s="14" t="n">
        <f aca="false">'2026년 1월'!H21</f>
        <v>3.06368041417021</v>
      </c>
      <c r="G18" s="14" t="n">
        <f aca="false">'2026년 2월'!H21</f>
        <v>0.991144777552545</v>
      </c>
      <c r="H18" s="14" t="str">
        <f aca="false">'2026년 3월'!H21</f>
        <v/>
      </c>
    </row>
    <row r="19" customFormat="false" ht="15" hidden="false" customHeight="false" outlineLevel="0" collapsed="false">
      <c r="A19" s="10" t="s">
        <v>25</v>
      </c>
      <c r="B19" s="11"/>
      <c r="C19" s="11"/>
      <c r="D19" s="11"/>
      <c r="E19" s="11"/>
      <c r="F19" s="11"/>
      <c r="G19" s="11"/>
      <c r="H19" s="11"/>
    </row>
    <row r="20" customFormat="false" ht="15" hidden="false" customHeight="false" outlineLevel="0" collapsed="false">
      <c r="A20" s="6" t="s">
        <v>26</v>
      </c>
      <c r="B20" s="7" t="n">
        <f aca="false">'2025년 9월'!H31</f>
        <v>15300</v>
      </c>
      <c r="C20" s="7" t="n">
        <f aca="false">'2025년 10월'!H31</f>
        <v>13511.92</v>
      </c>
      <c r="D20" s="7" t="n">
        <f aca="false">'2025년 11월'!H31</f>
        <v>12299.69</v>
      </c>
      <c r="E20" s="7" t="n">
        <f aca="false">'2025년 12월'!H31</f>
        <v>9839.51</v>
      </c>
      <c r="F20" s="7" t="n">
        <f aca="false">'2026년 1월'!H31</f>
        <v>9250.92</v>
      </c>
      <c r="G20" s="7" t="n">
        <f aca="false">'2026년 2월'!H31</f>
        <v>6216.1827</v>
      </c>
      <c r="H20" s="7" t="n">
        <f aca="false">'2026년 3월'!H31</f>
        <v>3677.7627</v>
      </c>
    </row>
    <row r="21" customFormat="false" ht="15" hidden="false" customHeight="false" outlineLevel="0" collapsed="false">
      <c r="A21" s="8" t="s">
        <v>27</v>
      </c>
      <c r="B21" s="9" t="n">
        <f aca="false">'2025년 9월'!H32</f>
        <v>1788.08</v>
      </c>
      <c r="C21" s="9" t="n">
        <f aca="false">'2025년 10월'!H32</f>
        <v>1500.155</v>
      </c>
      <c r="D21" s="9" t="n">
        <f aca="false">'2025년 11월'!H32</f>
        <v>1820.16333333333</v>
      </c>
      <c r="E21" s="9" t="n">
        <f aca="false">'2025년 12월'!H32</f>
        <v>1512.27</v>
      </c>
      <c r="F21" s="9" t="n">
        <f aca="false">'2026년 1월'!H32</f>
        <v>1816.76346</v>
      </c>
      <c r="G21" s="9" t="n">
        <f aca="false">'2026년 2월'!H32</f>
        <v>1937.03955</v>
      </c>
      <c r="H21" s="9" t="n">
        <f aca="false">'2026년 3월'!H32</f>
        <v>1691.31961428571</v>
      </c>
    </row>
    <row r="22" customFormat="false" ht="15" hidden="false" customHeight="false" outlineLevel="0" collapsed="false">
      <c r="A22" s="6" t="s">
        <v>28</v>
      </c>
      <c r="B22" s="15" t="n">
        <f aca="false">'2025년 9월'!H33</f>
        <v>8.55666413135878</v>
      </c>
      <c r="C22" s="15" t="n">
        <f aca="false">'2025년 10월'!H33</f>
        <v>9.00701594168602</v>
      </c>
      <c r="D22" s="15" t="n">
        <f aca="false">'2025년 11월'!H33</f>
        <v>6.75746498940571</v>
      </c>
      <c r="E22" s="15" t="n">
        <f aca="false">'2025년 12월'!H33</f>
        <v>6.50645056768963</v>
      </c>
      <c r="F22" s="15" t="n">
        <f aca="false">'2026년 1월'!H33</f>
        <v>5.09197823694671</v>
      </c>
      <c r="G22" s="15" t="n">
        <f aca="false">'2026년 2월'!H33</f>
        <v>3.20911501264907</v>
      </c>
      <c r="H22" s="15" t="n">
        <f aca="false">'2026년 3월'!H33</f>
        <v>2.17449302245171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28"/>
    <col collapsed="false" customWidth="true" hidden="false" outlineLevel="0" max="5" min="4" style="0" width="12"/>
    <col collapsed="false" customWidth="true" hidden="false" outlineLevel="0" max="6" min="6" style="0" width="1.51"/>
    <col collapsed="false" customWidth="true" hidden="false" outlineLevel="0" max="7" min="7" style="0" width="24"/>
    <col collapsed="false" customWidth="true" hidden="false" outlineLevel="0" max="8" min="8" style="0" width="14"/>
    <col collapsed="false" customWidth="true" hidden="false" outlineLevel="0" max="9" min="9" style="0" width="13"/>
  </cols>
  <sheetData>
    <row r="1" customFormat="false" ht="27.75" hidden="false" customHeight="true" outlineLevel="0" collapsed="false">
      <c r="A1" s="16" t="s">
        <v>29</v>
      </c>
      <c r="B1" s="16" t="s">
        <v>30</v>
      </c>
      <c r="C1" s="16" t="s">
        <v>31</v>
      </c>
      <c r="D1" s="16" t="s">
        <v>32</v>
      </c>
      <c r="E1" s="16" t="s">
        <v>33</v>
      </c>
      <c r="G1" s="17" t="s">
        <v>34</v>
      </c>
      <c r="H1" s="17"/>
      <c r="I1" s="17"/>
    </row>
    <row r="2" customFormat="false" ht="15" hidden="false" customHeight="false" outlineLevel="0" collapsed="false">
      <c r="A2" s="18" t="n">
        <v>45908</v>
      </c>
      <c r="B2" s="19" t="n">
        <v>82.97</v>
      </c>
      <c r="C2" s="8" t="s">
        <v>35</v>
      </c>
      <c r="D2" s="20" t="s">
        <v>36</v>
      </c>
      <c r="E2" s="19" t="n">
        <f aca="false">IFERROR(B2,0)</f>
        <v>82.97</v>
      </c>
      <c r="G2" s="21" t="s">
        <v>37</v>
      </c>
      <c r="H2" s="22"/>
      <c r="I2" s="23" t="s">
        <v>38</v>
      </c>
    </row>
    <row r="3" customFormat="false" ht="15" hidden="false" customHeight="false" outlineLevel="0" collapsed="false">
      <c r="A3" s="24"/>
      <c r="B3" s="25" t="n">
        <v>38.35</v>
      </c>
      <c r="C3" s="6" t="s">
        <v>39</v>
      </c>
      <c r="D3" s="26" t="s">
        <v>40</v>
      </c>
      <c r="E3" s="25" t="n">
        <f aca="false">E2+IFERROR(B3,0)</f>
        <v>121.32</v>
      </c>
      <c r="G3" s="27"/>
      <c r="H3" s="27"/>
      <c r="I3" s="27"/>
    </row>
    <row r="4" customFormat="false" ht="15" hidden="false" customHeight="false" outlineLevel="0" collapsed="false">
      <c r="A4" s="20"/>
      <c r="B4" s="19" t="n">
        <v>10.97</v>
      </c>
      <c r="C4" s="8" t="s">
        <v>41</v>
      </c>
      <c r="D4" s="20" t="s">
        <v>36</v>
      </c>
      <c r="E4" s="19" t="n">
        <f aca="false">E3+IFERROR(B4,0)</f>
        <v>132.29</v>
      </c>
      <c r="G4" s="2" t="s">
        <v>42</v>
      </c>
      <c r="H4" s="28" t="s">
        <v>43</v>
      </c>
      <c r="I4" s="28" t="s">
        <v>44</v>
      </c>
    </row>
    <row r="5" customFormat="false" ht="15" hidden="false" customHeight="false" outlineLevel="0" collapsed="false">
      <c r="A5" s="26"/>
      <c r="B5" s="25" t="n">
        <v>18</v>
      </c>
      <c r="C5" s="6" t="s">
        <v>45</v>
      </c>
      <c r="D5" s="26" t="s">
        <v>46</v>
      </c>
      <c r="E5" s="25" t="n">
        <f aca="false">E4+IFERROR(B5,0)</f>
        <v>150.29</v>
      </c>
      <c r="G5" s="29" t="s">
        <v>9</v>
      </c>
      <c r="H5" s="30" t="n">
        <f aca="false">SUM(B$2:B$202)</f>
        <v>1788.08</v>
      </c>
      <c r="I5" s="31" t="str">
        <f aca="true">IFERROR((H5-INDIRECT("'"&amp;$H$2&amp;"'!H5"))/INDIRECT("'"&amp;$H$2&amp;"'!H5"),"")</f>
        <v/>
      </c>
    </row>
    <row r="6" customFormat="false" ht="15" hidden="false" customHeight="false" outlineLevel="0" collapsed="false">
      <c r="A6" s="18" t="n">
        <v>45910</v>
      </c>
      <c r="B6" s="19" t="n">
        <v>6.9</v>
      </c>
      <c r="C6" s="8" t="s">
        <v>47</v>
      </c>
      <c r="D6" s="20" t="s">
        <v>36</v>
      </c>
      <c r="E6" s="19" t="n">
        <f aca="false">E5+IFERROR(B6,0)</f>
        <v>157.19</v>
      </c>
      <c r="G6" s="32" t="s">
        <v>10</v>
      </c>
      <c r="H6" s="33" t="n">
        <f aca="false">SUMIF(D$2:D$202,"생필품",B$2:B$202)</f>
        <v>674.26</v>
      </c>
      <c r="I6" s="34" t="str">
        <f aca="true">IFERROR((H6-INDIRECT("'"&amp;$H$2&amp;"'!H6"))/INDIRECT("'"&amp;$H$2&amp;"'!H6"),"")</f>
        <v/>
      </c>
    </row>
    <row r="7" customFormat="false" ht="15" hidden="false" customHeight="false" outlineLevel="0" collapsed="false">
      <c r="A7" s="26"/>
      <c r="B7" s="25" t="n">
        <v>15.99</v>
      </c>
      <c r="C7" s="12" t="s">
        <v>48</v>
      </c>
      <c r="D7" s="26" t="s">
        <v>36</v>
      </c>
      <c r="E7" s="25" t="n">
        <f aca="false">E6+IFERROR(B7,0)</f>
        <v>173.18</v>
      </c>
      <c r="G7" s="35" t="s">
        <v>11</v>
      </c>
      <c r="H7" s="36" t="n">
        <f aca="false">SUMIF(D$2:D$202,"식재료",B$2:B$202)</f>
        <v>316.8</v>
      </c>
      <c r="I7" s="37" t="str">
        <f aca="true">IFERROR((H7-INDIRECT("'"&amp;$H$2&amp;"'!H7"))/INDIRECT("'"&amp;$H$2&amp;"'!H7"),"")</f>
        <v/>
      </c>
    </row>
    <row r="8" customFormat="false" ht="15" hidden="false" customHeight="false" outlineLevel="0" collapsed="false">
      <c r="A8" s="20"/>
      <c r="B8" s="19" t="n">
        <v>4.96</v>
      </c>
      <c r="C8" s="8" t="s">
        <v>49</v>
      </c>
      <c r="D8" s="20" t="s">
        <v>36</v>
      </c>
      <c r="E8" s="19" t="n">
        <f aca="false">E7+IFERROR(B8,0)</f>
        <v>178.14</v>
      </c>
      <c r="G8" s="32" t="s">
        <v>12</v>
      </c>
      <c r="H8" s="33" t="n">
        <f aca="false">SUMIF(D$2:D$202,"보조제",B$2:B$202)</f>
        <v>53.48</v>
      </c>
      <c r="I8" s="34" t="str">
        <f aca="true">IFERROR((H8-INDIRECT("'"&amp;$H$2&amp;"'!H8"))/INDIRECT("'"&amp;$H$2&amp;"'!H8"),"")</f>
        <v/>
      </c>
    </row>
    <row r="9" customFormat="false" ht="15" hidden="false" customHeight="false" outlineLevel="0" collapsed="false">
      <c r="A9" s="26"/>
      <c r="B9" s="25" t="n">
        <v>11.94</v>
      </c>
      <c r="C9" s="6" t="s">
        <v>50</v>
      </c>
      <c r="D9" s="26" t="s">
        <v>36</v>
      </c>
      <c r="E9" s="25" t="n">
        <f aca="false">E8+IFERROR(B9,0)</f>
        <v>190.08</v>
      </c>
      <c r="G9" s="35" t="s">
        <v>13</v>
      </c>
      <c r="H9" s="36" t="n">
        <f aca="false">SUMIF(D$2:D$202,"교통비",B$2:B$202)</f>
        <v>91.96</v>
      </c>
      <c r="I9" s="37" t="str">
        <f aca="true">IFERROR((H9-INDIRECT("'"&amp;$H$2&amp;"'!H9"))/INDIRECT("'"&amp;$H$2&amp;"'!H9"),"")</f>
        <v/>
      </c>
    </row>
    <row r="10" customFormat="false" ht="15" hidden="false" customHeight="false" outlineLevel="0" collapsed="false">
      <c r="A10" s="20"/>
      <c r="B10" s="19" t="n">
        <v>18.79</v>
      </c>
      <c r="C10" s="8" t="s">
        <v>51</v>
      </c>
      <c r="D10" s="20" t="s">
        <v>36</v>
      </c>
      <c r="E10" s="19" t="n">
        <f aca="false">E9+IFERROR(B10,0)</f>
        <v>208.87</v>
      </c>
      <c r="G10" s="32" t="s">
        <v>14</v>
      </c>
      <c r="H10" s="33" t="n">
        <f aca="false">SUMIF(D$2:D$202,"외식",B$2:B$202)</f>
        <v>265.14</v>
      </c>
      <c r="I10" s="34" t="str">
        <f aca="true">IFERROR((H10-INDIRECT("'"&amp;$H$2&amp;"'!H10"))/INDIRECT("'"&amp;$H$2&amp;"'!H10"),"")</f>
        <v/>
      </c>
    </row>
    <row r="11" customFormat="false" ht="15" hidden="false" customHeight="false" outlineLevel="0" collapsed="false">
      <c r="A11" s="26"/>
      <c r="B11" s="25" t="n">
        <v>12.15</v>
      </c>
      <c r="C11" s="6" t="s">
        <v>52</v>
      </c>
      <c r="D11" s="26" t="s">
        <v>36</v>
      </c>
      <c r="E11" s="25" t="n">
        <f aca="false">E10+IFERROR(B11,0)</f>
        <v>221.02</v>
      </c>
      <c r="G11" s="35" t="s">
        <v>15</v>
      </c>
      <c r="H11" s="36" t="n">
        <f aca="false">SUMIF(D$2:D$202,"사치 음식",B$2:B$202)</f>
        <v>0</v>
      </c>
      <c r="I11" s="37" t="str">
        <f aca="true">IFERROR((H11-INDIRECT("'"&amp;$H$2&amp;"'!H11"))/INDIRECT("'"&amp;$H$2&amp;"'!H11"),"")</f>
        <v/>
      </c>
    </row>
    <row r="12" customFormat="false" ht="15" hidden="false" customHeight="false" outlineLevel="0" collapsed="false">
      <c r="A12" s="20"/>
      <c r="B12" s="19" t="n">
        <v>15.99</v>
      </c>
      <c r="C12" s="8" t="s">
        <v>53</v>
      </c>
      <c r="D12" s="20" t="s">
        <v>54</v>
      </c>
      <c r="E12" s="19" t="n">
        <f aca="false">E11+IFERROR(B12,0)</f>
        <v>237.01</v>
      </c>
      <c r="G12" s="32" t="s">
        <v>16</v>
      </c>
      <c r="H12" s="33" t="n">
        <f aca="false">SUMIF(D$2:D$202,"사치품",B$2:B$202)</f>
        <v>363.75</v>
      </c>
      <c r="I12" s="34" t="str">
        <f aca="true">IFERROR((H12-INDIRECT("'"&amp;$H$2&amp;"'!H12"))/INDIRECT("'"&amp;$H$2&amp;"'!H12"),"")</f>
        <v/>
      </c>
    </row>
    <row r="13" customFormat="false" ht="15" hidden="false" customHeight="false" outlineLevel="0" collapsed="false">
      <c r="A13" s="26"/>
      <c r="B13" s="25" t="n">
        <v>14.99</v>
      </c>
      <c r="C13" s="6" t="s">
        <v>55</v>
      </c>
      <c r="D13" s="26" t="s">
        <v>56</v>
      </c>
      <c r="E13" s="25" t="n">
        <f aca="false">E12+IFERROR(B13,0)</f>
        <v>252</v>
      </c>
      <c r="G13" s="35" t="s">
        <v>17</v>
      </c>
      <c r="H13" s="36" t="n">
        <f aca="false">SUMIF(D$2:D$202,"여행",B$2:B$202)</f>
        <v>0</v>
      </c>
      <c r="I13" s="37" t="str">
        <f aca="true">IFERROR((H13-INDIRECT("'"&amp;$H$2&amp;"'!H13"))/INDIRECT("'"&amp;$H$2&amp;"'!H13"),"")</f>
        <v/>
      </c>
    </row>
    <row r="14" customFormat="false" ht="15" hidden="false" customHeight="false" outlineLevel="0" collapsed="false">
      <c r="A14" s="18" t="n">
        <v>45911</v>
      </c>
      <c r="B14" s="19" t="n">
        <v>8.97</v>
      </c>
      <c r="C14" s="8" t="s">
        <v>57</v>
      </c>
      <c r="D14" s="20" t="s">
        <v>54</v>
      </c>
      <c r="E14" s="19" t="n">
        <f aca="false">E13+IFERROR(B14,0)</f>
        <v>260.97</v>
      </c>
      <c r="G14" s="32" t="s">
        <v>18</v>
      </c>
      <c r="H14" s="33" t="n">
        <f aca="false">SUMIF(D$2:D$202,"자기개발비",B$2:B$202)</f>
        <v>0</v>
      </c>
      <c r="I14" s="34" t="str">
        <f aca="true">IFERROR((H14-INDIRECT("'"&amp;$H$2&amp;"'!H14"))/INDIRECT("'"&amp;$H$2&amp;"'!H14"),"")</f>
        <v/>
      </c>
    </row>
    <row r="15" customFormat="false" ht="15" hidden="false" customHeight="false" outlineLevel="0" collapsed="false">
      <c r="A15" s="26"/>
      <c r="B15" s="25" t="n">
        <v>11.99</v>
      </c>
      <c r="C15" s="6" t="s">
        <v>58</v>
      </c>
      <c r="D15" s="26" t="s">
        <v>36</v>
      </c>
      <c r="E15" s="25" t="n">
        <f aca="false">E14+IFERROR(B15,0)</f>
        <v>272.96</v>
      </c>
      <c r="G15" s="35" t="s">
        <v>19</v>
      </c>
      <c r="H15" s="36" t="n">
        <f aca="false">H5-SUM(H6:H14)</f>
        <v>22.6900000000001</v>
      </c>
      <c r="I15" s="37" t="str">
        <f aca="true">IFERROR((H15-INDIRECT("'"&amp;$H$2&amp;"'!H15"))/INDIRECT("'"&amp;$H$2&amp;"'!H15"),"")</f>
        <v/>
      </c>
    </row>
    <row r="16" customFormat="false" ht="15" hidden="false" customHeight="false" outlineLevel="0" collapsed="false">
      <c r="A16" s="20"/>
      <c r="B16" s="19" t="n">
        <v>29.99</v>
      </c>
      <c r="C16" s="8" t="s">
        <v>59</v>
      </c>
      <c r="D16" s="20" t="s">
        <v>36</v>
      </c>
      <c r="E16" s="19" t="n">
        <f aca="false">E15+IFERROR(B16,0)</f>
        <v>302.95</v>
      </c>
      <c r="G16" s="27"/>
      <c r="H16" s="27"/>
      <c r="I16" s="27"/>
    </row>
    <row r="17" customFormat="false" ht="15" hidden="false" customHeight="false" outlineLevel="0" collapsed="false">
      <c r="A17" s="26"/>
      <c r="B17" s="25" t="n">
        <v>35.62</v>
      </c>
      <c r="C17" s="6" t="s">
        <v>60</v>
      </c>
      <c r="D17" s="26" t="s">
        <v>61</v>
      </c>
      <c r="E17" s="25" t="n">
        <f aca="false">E16+IFERROR(B17,0)</f>
        <v>338.57</v>
      </c>
      <c r="G17" s="38" t="s">
        <v>62</v>
      </c>
      <c r="H17" s="38"/>
      <c r="I17" s="38"/>
    </row>
    <row r="18" customFormat="false" ht="15" hidden="false" customHeight="false" outlineLevel="0" collapsed="false">
      <c r="A18" s="20"/>
      <c r="B18" s="19" t="n">
        <v>7.7</v>
      </c>
      <c r="C18" s="13" t="s">
        <v>63</v>
      </c>
      <c r="D18" s="20" t="s">
        <v>64</v>
      </c>
      <c r="E18" s="19" t="n">
        <f aca="false">E17+IFERROR(B18,0)</f>
        <v>346.27</v>
      </c>
      <c r="G18" s="32" t="s">
        <v>21</v>
      </c>
      <c r="H18" s="33" t="n">
        <f aca="false">H7+H10+H11</f>
        <v>581.94</v>
      </c>
      <c r="I18" s="32"/>
    </row>
    <row r="19" customFormat="false" ht="15" hidden="false" customHeight="false" outlineLevel="0" collapsed="false">
      <c r="A19" s="26"/>
      <c r="B19" s="25" t="n">
        <v>16</v>
      </c>
      <c r="C19" s="6" t="s">
        <v>65</v>
      </c>
      <c r="D19" s="26" t="s">
        <v>40</v>
      </c>
      <c r="E19" s="25" t="n">
        <f aca="false">E18+IFERROR(B19,0)</f>
        <v>362.27</v>
      </c>
      <c r="G19" s="39" t="s">
        <v>66</v>
      </c>
      <c r="H19" s="36" t="n">
        <f aca="false">IFERROR(H18/H23,"")</f>
        <v>18.7722580645161</v>
      </c>
      <c r="I19" s="40" t="s">
        <v>67</v>
      </c>
    </row>
    <row r="20" customFormat="false" ht="15" hidden="false" customHeight="false" outlineLevel="0" collapsed="false">
      <c r="A20" s="18" t="n">
        <v>45912</v>
      </c>
      <c r="B20" s="19" t="n">
        <v>10.5</v>
      </c>
      <c r="C20" s="8" t="s">
        <v>68</v>
      </c>
      <c r="D20" s="20" t="s">
        <v>36</v>
      </c>
      <c r="E20" s="19" t="n">
        <f aca="false">E19+IFERROR(B20,0)</f>
        <v>372.77</v>
      </c>
      <c r="G20" s="41" t="s">
        <v>69</v>
      </c>
      <c r="H20" s="33" t="n">
        <f aca="false">IFERROR(H19/2.5,"")</f>
        <v>7.50890322580645</v>
      </c>
      <c r="I20" s="41"/>
    </row>
    <row r="21" customFormat="false" ht="15" hidden="false" customHeight="false" outlineLevel="0" collapsed="false">
      <c r="A21" s="26"/>
      <c r="B21" s="25" t="n">
        <v>14.53</v>
      </c>
      <c r="C21" s="6" t="s">
        <v>70</v>
      </c>
      <c r="D21" s="26" t="s">
        <v>61</v>
      </c>
      <c r="E21" s="25" t="n">
        <f aca="false">E20+IFERROR(B21,0)</f>
        <v>387.3</v>
      </c>
      <c r="G21" s="35" t="s">
        <v>71</v>
      </c>
      <c r="H21" s="42" t="n">
        <f aca="false">IFERROR(H10/H7,"")</f>
        <v>0.836931818181818</v>
      </c>
      <c r="I21" s="40" t="s">
        <v>72</v>
      </c>
    </row>
    <row r="22" customFormat="false" ht="15" hidden="false" customHeight="false" outlineLevel="0" collapsed="false">
      <c r="A22" s="18" t="n">
        <v>45914</v>
      </c>
      <c r="B22" s="19" t="n">
        <v>22</v>
      </c>
      <c r="C22" s="8" t="s">
        <v>73</v>
      </c>
      <c r="D22" s="20" t="s">
        <v>74</v>
      </c>
      <c r="E22" s="19" t="n">
        <f aca="false">E21+IFERROR(B22,0)</f>
        <v>409.3</v>
      </c>
      <c r="G22" s="27"/>
      <c r="H22" s="27"/>
      <c r="I22" s="27"/>
    </row>
    <row r="23" customFormat="false" ht="15" hidden="false" customHeight="false" outlineLevel="0" collapsed="false">
      <c r="A23" s="26"/>
      <c r="B23" s="25" t="n">
        <v>10.4</v>
      </c>
      <c r="C23" s="6" t="s">
        <v>75</v>
      </c>
      <c r="D23" s="26" t="s">
        <v>61</v>
      </c>
      <c r="E23" s="25" t="n">
        <f aca="false">E22+IFERROR(B23,0)</f>
        <v>419.7</v>
      </c>
      <c r="G23" s="43" t="s">
        <v>76</v>
      </c>
      <c r="H23" s="44" t="n">
        <v>31</v>
      </c>
      <c r="I23" s="23" t="s">
        <v>77</v>
      </c>
    </row>
    <row r="24" customFormat="false" ht="15" hidden="false" customHeight="false" outlineLevel="0" collapsed="false">
      <c r="A24" s="18" t="n">
        <v>45916</v>
      </c>
      <c r="B24" s="19" t="n">
        <v>14.24</v>
      </c>
      <c r="C24" s="8" t="s">
        <v>78</v>
      </c>
      <c r="D24" s="20" t="s">
        <v>40</v>
      </c>
      <c r="E24" s="19" t="n">
        <f aca="false">E23+IFERROR(B24,0)</f>
        <v>433.94</v>
      </c>
      <c r="G24" s="27"/>
      <c r="H24" s="27"/>
      <c r="I24" s="27"/>
    </row>
    <row r="25" customFormat="false" ht="15" hidden="false" customHeight="false" outlineLevel="0" collapsed="false">
      <c r="A25" s="26"/>
      <c r="B25" s="25" t="n">
        <v>14.24</v>
      </c>
      <c r="C25" s="6" t="s">
        <v>79</v>
      </c>
      <c r="D25" s="26" t="s">
        <v>40</v>
      </c>
      <c r="E25" s="25" t="n">
        <f aca="false">E24+IFERROR(B25,0)</f>
        <v>448.18</v>
      </c>
      <c r="G25" s="38" t="s">
        <v>80</v>
      </c>
      <c r="H25" s="38"/>
      <c r="I25" s="38"/>
    </row>
    <row r="26" customFormat="false" ht="15" hidden="false" customHeight="false" outlineLevel="0" collapsed="false">
      <c r="A26" s="20"/>
      <c r="B26" s="19" t="n">
        <v>11.69</v>
      </c>
      <c r="C26" s="8" t="s">
        <v>81</v>
      </c>
      <c r="D26" s="20" t="s">
        <v>40</v>
      </c>
      <c r="E26" s="19" t="n">
        <f aca="false">E25+IFERROR(B26,0)</f>
        <v>459.87</v>
      </c>
      <c r="G26" s="43" t="s">
        <v>82</v>
      </c>
      <c r="H26" s="45" t="n">
        <v>15</v>
      </c>
      <c r="I26" s="23" t="s">
        <v>83</v>
      </c>
    </row>
    <row r="27" customFormat="false" ht="15" hidden="false" customHeight="false" outlineLevel="0" collapsed="false">
      <c r="A27" s="26"/>
      <c r="B27" s="25" t="n">
        <v>32.49</v>
      </c>
      <c r="C27" s="6" t="s">
        <v>84</v>
      </c>
      <c r="D27" s="26" t="s">
        <v>40</v>
      </c>
      <c r="E27" s="25" t="n">
        <f aca="false">E26+IFERROR(B27,0)</f>
        <v>492.36</v>
      </c>
      <c r="G27" s="32" t="s">
        <v>85</v>
      </c>
      <c r="H27" s="33" t="n">
        <f aca="false">H26/2.5</f>
        <v>6</v>
      </c>
      <c r="I27" s="41"/>
    </row>
    <row r="28" customFormat="false" ht="15" hidden="false" customHeight="false" outlineLevel="0" collapsed="false">
      <c r="A28" s="20"/>
      <c r="B28" s="19" t="n">
        <v>31.8</v>
      </c>
      <c r="C28" s="8" t="s">
        <v>86</v>
      </c>
      <c r="D28" s="20" t="s">
        <v>40</v>
      </c>
      <c r="E28" s="19" t="n">
        <f aca="false">E27+IFERROR(B28,0)</f>
        <v>524.16</v>
      </c>
      <c r="G28" s="46" t="s">
        <v>87</v>
      </c>
      <c r="H28" s="22" t="s">
        <v>88</v>
      </c>
      <c r="I28" s="23" t="s">
        <v>83</v>
      </c>
    </row>
    <row r="29" customFormat="false" ht="15" hidden="false" customHeight="false" outlineLevel="0" collapsed="false">
      <c r="A29" s="26"/>
      <c r="B29" s="25" t="n">
        <v>18.99</v>
      </c>
      <c r="C29" s="12" t="s">
        <v>89</v>
      </c>
      <c r="D29" s="26" t="s">
        <v>46</v>
      </c>
      <c r="E29" s="25" t="n">
        <f aca="false">E28+IFERROR(B29,0)</f>
        <v>543.15</v>
      </c>
      <c r="G29" s="27"/>
      <c r="H29" s="27"/>
      <c r="I29" s="27"/>
    </row>
    <row r="30" customFormat="false" ht="15" hidden="false" customHeight="false" outlineLevel="0" collapsed="false">
      <c r="A30" s="20"/>
      <c r="B30" s="19" t="n">
        <v>8.25</v>
      </c>
      <c r="C30" s="8" t="s">
        <v>90</v>
      </c>
      <c r="D30" s="20" t="s">
        <v>40</v>
      </c>
      <c r="E30" s="19" t="n">
        <f aca="false">E29+IFERROR(B30,0)</f>
        <v>551.4</v>
      </c>
      <c r="G30" s="38" t="s">
        <v>91</v>
      </c>
      <c r="H30" s="38"/>
      <c r="I30" s="38"/>
    </row>
    <row r="31" customFormat="false" ht="15" hidden="false" customHeight="false" outlineLevel="0" collapsed="false">
      <c r="A31" s="26"/>
      <c r="B31" s="25" t="n">
        <v>7.49</v>
      </c>
      <c r="C31" s="6" t="s">
        <v>92</v>
      </c>
      <c r="D31" s="26" t="s">
        <v>36</v>
      </c>
      <c r="E31" s="25" t="n">
        <f aca="false">E30+IFERROR(B31,0)</f>
        <v>558.89</v>
      </c>
      <c r="G31" s="43" t="s">
        <v>26</v>
      </c>
      <c r="H31" s="45" t="n">
        <v>15300</v>
      </c>
      <c r="I31" s="23" t="s">
        <v>83</v>
      </c>
    </row>
    <row r="32" customFormat="false" ht="15" hidden="false" customHeight="false" outlineLevel="0" collapsed="false">
      <c r="A32" s="20"/>
      <c r="B32" s="19" t="n">
        <v>13.49</v>
      </c>
      <c r="C32" s="8" t="s">
        <v>93</v>
      </c>
      <c r="D32" s="20" t="s">
        <v>40</v>
      </c>
      <c r="E32" s="19" t="n">
        <f aca="false">E31+IFERROR(B32,0)</f>
        <v>572.38</v>
      </c>
      <c r="G32" s="32" t="s">
        <v>27</v>
      </c>
      <c r="H32" s="33" t="n">
        <f aca="false">AVERAGE(H5)</f>
        <v>1788.08</v>
      </c>
      <c r="I32" s="41"/>
    </row>
    <row r="33" customFormat="false" ht="15" hidden="false" customHeight="false" outlineLevel="0" collapsed="false">
      <c r="A33" s="26"/>
      <c r="B33" s="25" t="n">
        <v>4.98</v>
      </c>
      <c r="C33" s="6" t="s">
        <v>94</v>
      </c>
      <c r="D33" s="26" t="s">
        <v>40</v>
      </c>
      <c r="E33" s="25" t="n">
        <f aca="false">E32+IFERROR(B33,0)</f>
        <v>577.36</v>
      </c>
      <c r="G33" s="46" t="s">
        <v>95</v>
      </c>
      <c r="H33" s="47" t="n">
        <f aca="false">IFERROR(H31/H32,"")</f>
        <v>8.55666413135878</v>
      </c>
      <c r="I33" s="46" t="s">
        <v>96</v>
      </c>
    </row>
    <row r="34" customFormat="false" ht="15" hidden="false" customHeight="false" outlineLevel="0" collapsed="false">
      <c r="A34" s="20"/>
      <c r="B34" s="19" t="n">
        <v>6.29</v>
      </c>
      <c r="C34" s="13" t="s">
        <v>97</v>
      </c>
      <c r="D34" s="20" t="s">
        <v>36</v>
      </c>
      <c r="E34" s="19" t="n">
        <f aca="false">E33+IFERROR(B34,0)</f>
        <v>583.65</v>
      </c>
      <c r="G34" s="32" t="s">
        <v>98</v>
      </c>
      <c r="H34" s="48" t="n">
        <f aca="true">IFERROR(TODAY()+H33*30,"")</f>
        <v>46338.6999239408</v>
      </c>
      <c r="I34" s="41"/>
    </row>
    <row r="35" customFormat="false" ht="15" hidden="false" customHeight="false" outlineLevel="0" collapsed="false">
      <c r="A35" s="26"/>
      <c r="B35" s="25" t="n">
        <v>12</v>
      </c>
      <c r="C35" s="6" t="s">
        <v>99</v>
      </c>
      <c r="D35" s="26" t="s">
        <v>61</v>
      </c>
      <c r="E35" s="25" t="n">
        <f aca="false">E34+IFERROR(B35,0)</f>
        <v>595.65</v>
      </c>
    </row>
    <row r="36" customFormat="false" ht="15" hidden="false" customHeight="false" outlineLevel="0" collapsed="false">
      <c r="A36" s="20"/>
      <c r="B36" s="19" t="n">
        <v>12.38</v>
      </c>
      <c r="C36" s="13" t="s">
        <v>100</v>
      </c>
      <c r="D36" s="20" t="s">
        <v>61</v>
      </c>
      <c r="E36" s="19" t="n">
        <f aca="false">E35+IFERROR(B36,0)</f>
        <v>608.03</v>
      </c>
    </row>
    <row r="37" customFormat="false" ht="15" hidden="false" customHeight="false" outlineLevel="0" collapsed="false">
      <c r="A37" s="49" t="n">
        <v>45917</v>
      </c>
      <c r="B37" s="25" t="n">
        <v>40</v>
      </c>
      <c r="C37" s="6" t="s">
        <v>101</v>
      </c>
      <c r="D37" s="26" t="s">
        <v>54</v>
      </c>
      <c r="E37" s="25" t="n">
        <f aca="false">E36+IFERROR(B37,0)</f>
        <v>648.03</v>
      </c>
      <c r="G37" s="50" t="s">
        <v>32</v>
      </c>
      <c r="H37" s="50" t="s">
        <v>102</v>
      </c>
    </row>
    <row r="38" customFormat="false" ht="15" hidden="false" customHeight="false" outlineLevel="0" collapsed="false">
      <c r="A38" s="20"/>
      <c r="B38" s="19" t="n">
        <v>19</v>
      </c>
      <c r="C38" s="8" t="s">
        <v>103</v>
      </c>
      <c r="D38" s="20" t="s">
        <v>61</v>
      </c>
      <c r="E38" s="19" t="n">
        <f aca="false">E37+IFERROR(B38,0)</f>
        <v>667.03</v>
      </c>
      <c r="G38" s="50" t="s">
        <v>36</v>
      </c>
      <c r="H38" s="51" t="n">
        <f aca="false">H6</f>
        <v>674.26</v>
      </c>
    </row>
    <row r="39" customFormat="false" ht="15" hidden="false" customHeight="false" outlineLevel="0" collapsed="false">
      <c r="A39" s="26"/>
      <c r="B39" s="25" t="n">
        <v>8.43</v>
      </c>
      <c r="C39" s="6" t="s">
        <v>104</v>
      </c>
      <c r="D39" s="26" t="s">
        <v>61</v>
      </c>
      <c r="E39" s="25" t="n">
        <f aca="false">E38+IFERROR(B39,0)</f>
        <v>675.46</v>
      </c>
      <c r="G39" s="50" t="s">
        <v>105</v>
      </c>
      <c r="H39" s="51" t="n">
        <f aca="false">H7+H10</f>
        <v>581.94</v>
      </c>
    </row>
    <row r="40" customFormat="false" ht="15" hidden="false" customHeight="false" outlineLevel="0" collapsed="false">
      <c r="A40" s="18" t="n">
        <v>45918</v>
      </c>
      <c r="B40" s="19" t="n">
        <v>10.99</v>
      </c>
      <c r="C40" s="8" t="s">
        <v>106</v>
      </c>
      <c r="D40" s="20" t="s">
        <v>40</v>
      </c>
      <c r="E40" s="19" t="n">
        <f aca="false">E39+IFERROR(B40,0)</f>
        <v>686.45</v>
      </c>
      <c r="G40" s="50" t="s">
        <v>46</v>
      </c>
      <c r="H40" s="51" t="n">
        <f aca="false">H8</f>
        <v>53.48</v>
      </c>
    </row>
    <row r="41" customFormat="false" ht="15" hidden="false" customHeight="false" outlineLevel="0" collapsed="false">
      <c r="A41" s="26"/>
      <c r="B41" s="25" t="n">
        <v>5</v>
      </c>
      <c r="C41" s="6" t="s">
        <v>68</v>
      </c>
      <c r="D41" s="26" t="s">
        <v>36</v>
      </c>
      <c r="E41" s="25" t="n">
        <f aca="false">E40+IFERROR(B41,0)</f>
        <v>691.45</v>
      </c>
      <c r="G41" s="50" t="s">
        <v>54</v>
      </c>
      <c r="H41" s="51" t="n">
        <f aca="false">H9</f>
        <v>91.96</v>
      </c>
    </row>
    <row r="42" customFormat="false" ht="15" hidden="false" customHeight="false" outlineLevel="0" collapsed="false">
      <c r="A42" s="18" t="n">
        <v>45919</v>
      </c>
      <c r="B42" s="19" t="n">
        <v>51.96</v>
      </c>
      <c r="C42" s="13" t="s">
        <v>107</v>
      </c>
      <c r="D42" s="20" t="s">
        <v>61</v>
      </c>
      <c r="E42" s="19" t="n">
        <f aca="false">E41+IFERROR(B42,0)</f>
        <v>743.41</v>
      </c>
      <c r="G42" s="50" t="s">
        <v>74</v>
      </c>
      <c r="H42" s="51" t="n">
        <f aca="false">H12</f>
        <v>363.75</v>
      </c>
    </row>
    <row r="43" customFormat="false" ht="15" hidden="false" customHeight="false" outlineLevel="0" collapsed="false">
      <c r="A43" s="49" t="n">
        <v>45920</v>
      </c>
      <c r="B43" s="25" t="n">
        <v>6.54</v>
      </c>
      <c r="C43" s="6" t="s">
        <v>108</v>
      </c>
      <c r="D43" s="26" t="s">
        <v>61</v>
      </c>
      <c r="E43" s="25" t="n">
        <f aca="false">E42+IFERROR(B43,0)</f>
        <v>749.95</v>
      </c>
      <c r="G43" s="50" t="s">
        <v>109</v>
      </c>
      <c r="H43" s="51" t="n">
        <f aca="false">H15</f>
        <v>22.6900000000001</v>
      </c>
    </row>
    <row r="44" customFormat="false" ht="15" hidden="false" customHeight="false" outlineLevel="0" collapsed="false">
      <c r="A44" s="20"/>
      <c r="B44" s="19" t="n">
        <v>27</v>
      </c>
      <c r="C44" s="8" t="s">
        <v>110</v>
      </c>
      <c r="D44" s="20" t="s">
        <v>54</v>
      </c>
      <c r="E44" s="19" t="n">
        <f aca="false">E43+IFERROR(B44,0)</f>
        <v>776.95</v>
      </c>
    </row>
    <row r="45" customFormat="false" ht="15" hidden="false" customHeight="false" outlineLevel="0" collapsed="false">
      <c r="A45" s="49" t="n">
        <v>45921</v>
      </c>
      <c r="B45" s="25" t="n">
        <v>5.45</v>
      </c>
      <c r="C45" s="12" t="s">
        <v>111</v>
      </c>
      <c r="D45" s="26" t="s">
        <v>61</v>
      </c>
      <c r="E45" s="25" t="n">
        <f aca="false">E44+IFERROR(B45,0)</f>
        <v>782.4</v>
      </c>
    </row>
    <row r="46" customFormat="false" ht="15" hidden="false" customHeight="false" outlineLevel="0" collapsed="false">
      <c r="A46" s="20"/>
      <c r="B46" s="19" t="n">
        <v>6.09</v>
      </c>
      <c r="C46" s="8" t="s">
        <v>112</v>
      </c>
      <c r="D46" s="20" t="s">
        <v>61</v>
      </c>
      <c r="E46" s="19" t="n">
        <f aca="false">E45+IFERROR(B46,0)</f>
        <v>788.49</v>
      </c>
    </row>
    <row r="47" customFormat="false" ht="15" hidden="false" customHeight="false" outlineLevel="0" collapsed="false">
      <c r="A47" s="49" t="n">
        <v>45922</v>
      </c>
      <c r="B47" s="25" t="n">
        <v>22</v>
      </c>
      <c r="C47" s="6" t="s">
        <v>113</v>
      </c>
      <c r="D47" s="26" t="s">
        <v>74</v>
      </c>
      <c r="E47" s="25" t="n">
        <f aca="false">E46+IFERROR(B47,0)</f>
        <v>810.49</v>
      </c>
    </row>
    <row r="48" customFormat="false" ht="15" hidden="false" customHeight="false" outlineLevel="0" collapsed="false">
      <c r="A48" s="20"/>
      <c r="B48" s="19" t="n">
        <v>3</v>
      </c>
      <c r="C48" s="8" t="s">
        <v>114</v>
      </c>
      <c r="D48" s="20" t="s">
        <v>61</v>
      </c>
      <c r="E48" s="19" t="n">
        <f aca="false">E47+IFERROR(B48,0)</f>
        <v>813.49</v>
      </c>
    </row>
    <row r="49" customFormat="false" ht="15" hidden="false" customHeight="false" outlineLevel="0" collapsed="false">
      <c r="A49" s="26"/>
      <c r="B49" s="25" t="n">
        <v>368.04</v>
      </c>
      <c r="C49" s="6" t="s">
        <v>115</v>
      </c>
      <c r="D49" s="26" t="s">
        <v>36</v>
      </c>
      <c r="E49" s="25" t="n">
        <f aca="false">E48+IFERROR(B49,0)</f>
        <v>1181.53</v>
      </c>
    </row>
    <row r="50" customFormat="false" ht="15" hidden="false" customHeight="false" outlineLevel="0" collapsed="false">
      <c r="A50" s="18" t="n">
        <v>45923</v>
      </c>
      <c r="B50" s="19" t="n">
        <v>14.2</v>
      </c>
      <c r="C50" s="13" t="s">
        <v>116</v>
      </c>
      <c r="D50" s="20" t="s">
        <v>61</v>
      </c>
      <c r="E50" s="19" t="n">
        <f aca="false">E49+IFERROR(B50,0)</f>
        <v>1195.73</v>
      </c>
    </row>
    <row r="51" customFormat="false" ht="15" hidden="false" customHeight="false" outlineLevel="0" collapsed="false">
      <c r="A51" s="26"/>
      <c r="B51" s="25" t="n">
        <v>12.38</v>
      </c>
      <c r="C51" s="12" t="s">
        <v>100</v>
      </c>
      <c r="D51" s="26" t="s">
        <v>61</v>
      </c>
      <c r="E51" s="25" t="n">
        <f aca="false">E50+IFERROR(B51,0)</f>
        <v>1208.11</v>
      </c>
    </row>
    <row r="52" customFormat="false" ht="15" hidden="false" customHeight="false" outlineLevel="0" collapsed="false">
      <c r="A52" s="18" t="n">
        <v>45924</v>
      </c>
      <c r="B52" s="19" t="n">
        <v>20.95</v>
      </c>
      <c r="C52" s="8" t="s">
        <v>117</v>
      </c>
      <c r="D52" s="20" t="s">
        <v>61</v>
      </c>
      <c r="E52" s="19" t="n">
        <f aca="false">E51+IFERROR(B52,0)</f>
        <v>1229.06</v>
      </c>
    </row>
    <row r="53" customFormat="false" ht="15" hidden="false" customHeight="false" outlineLevel="0" collapsed="false">
      <c r="A53" s="26"/>
      <c r="B53" s="25" t="n">
        <v>9.06</v>
      </c>
      <c r="C53" s="6" t="s">
        <v>118</v>
      </c>
      <c r="D53" s="26" t="s">
        <v>61</v>
      </c>
      <c r="E53" s="25" t="n">
        <f aca="false">E52+IFERROR(B53,0)</f>
        <v>1238.12</v>
      </c>
    </row>
    <row r="54" customFormat="false" ht="15" hidden="false" customHeight="false" outlineLevel="0" collapsed="false">
      <c r="A54" s="20"/>
      <c r="B54" s="19" t="n">
        <v>48.07</v>
      </c>
      <c r="C54" s="8" t="s">
        <v>119</v>
      </c>
      <c r="D54" s="20" t="s">
        <v>40</v>
      </c>
      <c r="E54" s="19" t="n">
        <f aca="false">E53+IFERROR(B54,0)</f>
        <v>1286.19</v>
      </c>
    </row>
    <row r="55" customFormat="false" ht="15" hidden="false" customHeight="false" outlineLevel="0" collapsed="false">
      <c r="A55" s="49" t="n">
        <v>45925</v>
      </c>
      <c r="B55" s="25" t="n">
        <v>8.64</v>
      </c>
      <c r="C55" s="6" t="s">
        <v>120</v>
      </c>
      <c r="D55" s="26" t="s">
        <v>40</v>
      </c>
      <c r="E55" s="25" t="n">
        <f aca="false">E54+IFERROR(B55,0)</f>
        <v>1294.83</v>
      </c>
    </row>
    <row r="56" customFormat="false" ht="15" hidden="false" customHeight="false" outlineLevel="0" collapsed="false">
      <c r="A56" s="18" t="n">
        <v>45926</v>
      </c>
      <c r="B56" s="19" t="n">
        <v>5</v>
      </c>
      <c r="C56" s="8" t="s">
        <v>68</v>
      </c>
      <c r="D56" s="20" t="s">
        <v>36</v>
      </c>
      <c r="E56" s="19" t="n">
        <f aca="false">E55+IFERROR(B56,0)</f>
        <v>1299.83</v>
      </c>
    </row>
    <row r="57" customFormat="false" ht="15" hidden="false" customHeight="false" outlineLevel="0" collapsed="false">
      <c r="A57" s="26"/>
      <c r="B57" s="25" t="n">
        <v>38.3</v>
      </c>
      <c r="C57" s="6" t="s">
        <v>121</v>
      </c>
      <c r="D57" s="26" t="s">
        <v>40</v>
      </c>
      <c r="E57" s="25" t="n">
        <f aca="false">E56+IFERROR(B57,0)</f>
        <v>1338.13</v>
      </c>
    </row>
    <row r="58" customFormat="false" ht="15" hidden="false" customHeight="false" outlineLevel="0" collapsed="false">
      <c r="A58" s="20"/>
      <c r="B58" s="19" t="n">
        <v>9.15</v>
      </c>
      <c r="C58" s="13" t="s">
        <v>122</v>
      </c>
      <c r="D58" s="20" t="s">
        <v>61</v>
      </c>
      <c r="E58" s="19" t="n">
        <f aca="false">E57+IFERROR(B58,0)</f>
        <v>1347.28</v>
      </c>
    </row>
    <row r="59" customFormat="false" ht="15" hidden="false" customHeight="false" outlineLevel="0" collapsed="false">
      <c r="A59" s="26"/>
      <c r="B59" s="25" t="n">
        <v>34.21</v>
      </c>
      <c r="C59" s="6" t="s">
        <v>123</v>
      </c>
      <c r="D59" s="26" t="s">
        <v>74</v>
      </c>
      <c r="E59" s="25" t="n">
        <f aca="false">E58+IFERROR(B59,0)</f>
        <v>1381.49</v>
      </c>
    </row>
    <row r="60" customFormat="false" ht="15" hidden="false" customHeight="false" outlineLevel="0" collapsed="false">
      <c r="A60" s="18" t="n">
        <v>45927</v>
      </c>
      <c r="B60" s="19" t="n">
        <v>285.54</v>
      </c>
      <c r="C60" s="8" t="s">
        <v>124</v>
      </c>
      <c r="D60" s="20" t="s">
        <v>74</v>
      </c>
      <c r="E60" s="19" t="n">
        <f aca="false">E59+IFERROR(B60,0)</f>
        <v>1667.03</v>
      </c>
    </row>
    <row r="61" customFormat="false" ht="15" hidden="false" customHeight="false" outlineLevel="0" collapsed="false">
      <c r="A61" s="26"/>
      <c r="B61" s="25" t="n">
        <v>14</v>
      </c>
      <c r="C61" s="6" t="s">
        <v>125</v>
      </c>
      <c r="D61" s="26" t="s">
        <v>61</v>
      </c>
      <c r="E61" s="25" t="n">
        <f aca="false">E60+IFERROR(B61,0)</f>
        <v>1681.03</v>
      </c>
    </row>
    <row r="62" customFormat="false" ht="15" hidden="false" customHeight="false" outlineLevel="0" collapsed="false">
      <c r="A62" s="20"/>
      <c r="B62" s="19" t="n">
        <v>16.49</v>
      </c>
      <c r="C62" s="8" t="s">
        <v>126</v>
      </c>
      <c r="D62" s="20" t="s">
        <v>46</v>
      </c>
      <c r="E62" s="19" t="n">
        <f aca="false">E61+IFERROR(B62,0)</f>
        <v>1697.52</v>
      </c>
    </row>
    <row r="63" customFormat="false" ht="15" hidden="false" customHeight="false" outlineLevel="0" collapsed="false">
      <c r="A63" s="26"/>
      <c r="B63" s="25" t="n">
        <v>11.99</v>
      </c>
      <c r="C63" s="6" t="s">
        <v>127</v>
      </c>
      <c r="D63" s="26" t="s">
        <v>40</v>
      </c>
      <c r="E63" s="25" t="n">
        <f aca="false">E62+IFERROR(B63,0)</f>
        <v>1709.51</v>
      </c>
    </row>
    <row r="64" customFormat="false" ht="15" hidden="false" customHeight="false" outlineLevel="0" collapsed="false">
      <c r="A64" s="18" t="n">
        <v>45929</v>
      </c>
      <c r="B64" s="19" t="n">
        <v>13.28</v>
      </c>
      <c r="C64" s="8" t="s">
        <v>128</v>
      </c>
      <c r="D64" s="20" t="s">
        <v>40</v>
      </c>
      <c r="E64" s="19" t="n">
        <f aca="false">E63+IFERROR(B64,0)</f>
        <v>1722.79</v>
      </c>
    </row>
    <row r="65" customFormat="false" ht="15" hidden="false" customHeight="false" outlineLevel="0" collapsed="false">
      <c r="A65" s="26"/>
      <c r="B65" s="25" t="n">
        <v>43.09</v>
      </c>
      <c r="C65" s="6" t="s">
        <v>35</v>
      </c>
      <c r="D65" s="26" t="s">
        <v>36</v>
      </c>
      <c r="E65" s="25" t="n">
        <f aca="false">E64+IFERROR(B65,0)</f>
        <v>1765.88</v>
      </c>
    </row>
    <row r="66" customFormat="false" ht="15" hidden="false" customHeight="false" outlineLevel="0" collapsed="false">
      <c r="A66" s="20"/>
      <c r="B66" s="19" t="n">
        <v>14.55</v>
      </c>
      <c r="C66" s="8" t="s">
        <v>129</v>
      </c>
      <c r="D66" s="20" t="s">
        <v>36</v>
      </c>
      <c r="E66" s="19" t="n">
        <f aca="false">E65+IFERROR(B66,0)</f>
        <v>1780.43</v>
      </c>
    </row>
    <row r="67" customFormat="false" ht="15" hidden="false" customHeight="false" outlineLevel="0" collapsed="false">
      <c r="A67" s="26"/>
      <c r="B67" s="25" t="n">
        <v>7.65</v>
      </c>
      <c r="C67" s="6" t="s">
        <v>130</v>
      </c>
      <c r="D67" s="26" t="s">
        <v>36</v>
      </c>
      <c r="E67" s="25" t="n">
        <f aca="false">E66+IFERROR(B67,0)</f>
        <v>1788.08</v>
      </c>
    </row>
  </sheetData>
  <mergeCells count="4">
    <mergeCell ref="G1:I1"/>
    <mergeCell ref="G17:I17"/>
    <mergeCell ref="G25:I25"/>
    <mergeCell ref="G30:I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28"/>
    <col collapsed="false" customWidth="true" hidden="false" outlineLevel="0" max="5" min="4" style="0" width="12"/>
    <col collapsed="false" customWidth="true" hidden="false" outlineLevel="0" max="6" min="6" style="0" width="1.51"/>
    <col collapsed="false" customWidth="true" hidden="false" outlineLevel="0" max="7" min="7" style="0" width="24"/>
    <col collapsed="false" customWidth="true" hidden="false" outlineLevel="0" max="8" min="8" style="0" width="14"/>
    <col collapsed="false" customWidth="true" hidden="false" outlineLevel="0" max="9" min="9" style="0" width="13"/>
  </cols>
  <sheetData>
    <row r="1" customFormat="false" ht="27.75" hidden="false" customHeight="true" outlineLevel="0" collapsed="false">
      <c r="A1" s="16" t="s">
        <v>29</v>
      </c>
      <c r="B1" s="16" t="s">
        <v>30</v>
      </c>
      <c r="C1" s="16" t="s">
        <v>31</v>
      </c>
      <c r="D1" s="16" t="s">
        <v>32</v>
      </c>
      <c r="E1" s="16" t="s">
        <v>33</v>
      </c>
      <c r="G1" s="17" t="s">
        <v>131</v>
      </c>
      <c r="H1" s="17"/>
      <c r="I1" s="17"/>
    </row>
    <row r="2" customFormat="false" ht="15" hidden="false" customHeight="false" outlineLevel="0" collapsed="false">
      <c r="A2" s="18" t="n">
        <v>45931</v>
      </c>
      <c r="B2" s="19" t="n">
        <v>9.94</v>
      </c>
      <c r="C2" s="8" t="s">
        <v>128</v>
      </c>
      <c r="D2" s="20" t="s">
        <v>36</v>
      </c>
      <c r="E2" s="19" t="n">
        <f aca="false">IFERROR(B2,0)</f>
        <v>9.94</v>
      </c>
      <c r="G2" s="21" t="s">
        <v>37</v>
      </c>
      <c r="H2" s="22" t="s">
        <v>132</v>
      </c>
      <c r="I2" s="23" t="s">
        <v>38</v>
      </c>
    </row>
    <row r="3" customFormat="false" ht="15" hidden="false" customHeight="false" outlineLevel="0" collapsed="false">
      <c r="A3" s="26"/>
      <c r="B3" s="25" t="n">
        <v>18.99</v>
      </c>
      <c r="C3" s="12" t="s">
        <v>89</v>
      </c>
      <c r="D3" s="26" t="s">
        <v>46</v>
      </c>
      <c r="E3" s="25" t="n">
        <f aca="false">E2+IFERROR(B3,0)</f>
        <v>28.93</v>
      </c>
      <c r="G3" s="27"/>
      <c r="H3" s="27"/>
      <c r="I3" s="27"/>
    </row>
    <row r="4" customFormat="false" ht="15" hidden="false" customHeight="false" outlineLevel="0" collapsed="false">
      <c r="A4" s="20"/>
      <c r="B4" s="19" t="n">
        <v>36.99</v>
      </c>
      <c r="C4" s="8" t="s">
        <v>133</v>
      </c>
      <c r="D4" s="20" t="s">
        <v>40</v>
      </c>
      <c r="E4" s="19" t="n">
        <f aca="false">E3+IFERROR(B4,0)</f>
        <v>65.92</v>
      </c>
      <c r="G4" s="2" t="s">
        <v>42</v>
      </c>
      <c r="H4" s="28" t="s">
        <v>43</v>
      </c>
      <c r="I4" s="28" t="s">
        <v>44</v>
      </c>
    </row>
    <row r="5" customFormat="false" ht="15" hidden="false" customHeight="false" outlineLevel="0" collapsed="false">
      <c r="A5" s="49" t="n">
        <v>45932</v>
      </c>
      <c r="B5" s="25" t="n">
        <v>5</v>
      </c>
      <c r="C5" s="6" t="s">
        <v>68</v>
      </c>
      <c r="D5" s="26" t="s">
        <v>36</v>
      </c>
      <c r="E5" s="25" t="n">
        <f aca="false">E4+IFERROR(B5,0)</f>
        <v>70.92</v>
      </c>
      <c r="G5" s="29" t="s">
        <v>9</v>
      </c>
      <c r="H5" s="30" t="n">
        <f aca="false">SUM(B$2:B$202)</f>
        <v>1212.23</v>
      </c>
      <c r="I5" s="31" t="n">
        <f aca="true">IFERROR((H5-INDIRECT("'"&amp;$H$2&amp;"'!H5"))/INDIRECT("'"&amp;$H$2&amp;"'!H5"),"")</f>
        <v>-0.322049349022415</v>
      </c>
    </row>
    <row r="6" customFormat="false" ht="15" hidden="false" customHeight="false" outlineLevel="0" collapsed="false">
      <c r="A6" s="20"/>
      <c r="B6" s="19" t="n">
        <v>19.21</v>
      </c>
      <c r="C6" s="8" t="s">
        <v>118</v>
      </c>
      <c r="D6" s="20" t="s">
        <v>61</v>
      </c>
      <c r="E6" s="19" t="n">
        <f aca="false">E5+IFERROR(B6,0)</f>
        <v>90.13</v>
      </c>
      <c r="G6" s="32" t="s">
        <v>10</v>
      </c>
      <c r="H6" s="33" t="n">
        <f aca="false">SUMIF(D$2:D$202,"생필품",B$2:B$202)</f>
        <v>114.69</v>
      </c>
      <c r="I6" s="34" t="n">
        <f aca="true">IFERROR((H6-INDIRECT("'"&amp;$H$2&amp;"'!H6"))/INDIRECT("'"&amp;$H$2&amp;"'!H6"),"")</f>
        <v>-0.829902411532643</v>
      </c>
    </row>
    <row r="7" customFormat="false" ht="15" hidden="false" customHeight="false" outlineLevel="0" collapsed="false">
      <c r="A7" s="26"/>
      <c r="B7" s="25" t="n">
        <v>9.99</v>
      </c>
      <c r="C7" s="6" t="s">
        <v>134</v>
      </c>
      <c r="D7" s="26" t="s">
        <v>40</v>
      </c>
      <c r="E7" s="25" t="n">
        <f aca="false">E6+IFERROR(B7,0)</f>
        <v>100.12</v>
      </c>
      <c r="G7" s="35" t="s">
        <v>11</v>
      </c>
      <c r="H7" s="36" t="n">
        <f aca="false">SUMIF(D$2:D$202,"식재료",B$2:B$202)</f>
        <v>228.2</v>
      </c>
      <c r="I7" s="37" t="n">
        <f aca="true">IFERROR((H7-INDIRECT("'"&amp;$H$2&amp;"'!H7"))/INDIRECT("'"&amp;$H$2&amp;"'!H7"),"")</f>
        <v>-0.279671717171717</v>
      </c>
    </row>
    <row r="8" customFormat="false" ht="15" hidden="false" customHeight="false" outlineLevel="0" collapsed="false">
      <c r="A8" s="18" t="n">
        <v>45933</v>
      </c>
      <c r="B8" s="19" t="n">
        <v>9.15</v>
      </c>
      <c r="C8" s="13" t="s">
        <v>135</v>
      </c>
      <c r="D8" s="20" t="s">
        <v>61</v>
      </c>
      <c r="E8" s="19" t="n">
        <f aca="false">E7+IFERROR(B8,0)</f>
        <v>109.27</v>
      </c>
      <c r="G8" s="32" t="s">
        <v>12</v>
      </c>
      <c r="H8" s="33" t="n">
        <f aca="false">SUMIF(D$2:D$202,"보조제",B$2:B$202)</f>
        <v>74.95</v>
      </c>
      <c r="I8" s="34" t="n">
        <f aca="true">IFERROR((H8-INDIRECT("'"&amp;$H$2&amp;"'!H8"))/INDIRECT("'"&amp;$H$2&amp;"'!H8"),"")</f>
        <v>0.401458489154824</v>
      </c>
    </row>
    <row r="9" customFormat="false" ht="15" hidden="false" customHeight="false" outlineLevel="0" collapsed="false">
      <c r="A9" s="49" t="n">
        <v>45934</v>
      </c>
      <c r="B9" s="25" t="n">
        <v>12.56</v>
      </c>
      <c r="C9" s="12" t="s">
        <v>136</v>
      </c>
      <c r="D9" s="26" t="s">
        <v>61</v>
      </c>
      <c r="E9" s="25" t="n">
        <f aca="false">E8+IFERROR(B9,0)</f>
        <v>121.83</v>
      </c>
      <c r="G9" s="35" t="s">
        <v>13</v>
      </c>
      <c r="H9" s="36" t="n">
        <f aca="false">SUMIF(D$2:D$202,"교통비",B$2:B$202)</f>
        <v>56.42</v>
      </c>
      <c r="I9" s="37" t="n">
        <f aca="true">IFERROR((H9-INDIRECT("'"&amp;$H$2&amp;"'!H9"))/INDIRECT("'"&amp;$H$2&amp;"'!H9"),"")</f>
        <v>-0.386472379295346</v>
      </c>
    </row>
    <row r="10" customFormat="false" ht="15" hidden="false" customHeight="false" outlineLevel="0" collapsed="false">
      <c r="A10" s="20"/>
      <c r="B10" s="19" t="n">
        <v>5.32</v>
      </c>
      <c r="C10" s="13" t="s">
        <v>137</v>
      </c>
      <c r="D10" s="20" t="s">
        <v>61</v>
      </c>
      <c r="E10" s="19" t="n">
        <f aca="false">E9+IFERROR(B10,0)</f>
        <v>127.15</v>
      </c>
      <c r="G10" s="32" t="s">
        <v>14</v>
      </c>
      <c r="H10" s="33" t="n">
        <f aca="false">SUMIF(D$2:D$202,"외식",B$2:B$202)</f>
        <v>330.34</v>
      </c>
      <c r="I10" s="34" t="n">
        <f aca="true">IFERROR((H10-INDIRECT("'"&amp;$H$2&amp;"'!H10"))/INDIRECT("'"&amp;$H$2&amp;"'!H10"),"")</f>
        <v>0.245907822282568</v>
      </c>
    </row>
    <row r="11" customFormat="false" ht="15" hidden="false" customHeight="false" outlineLevel="0" collapsed="false">
      <c r="A11" s="26"/>
      <c r="B11" s="25" t="n">
        <v>55.31</v>
      </c>
      <c r="C11" s="6" t="s">
        <v>65</v>
      </c>
      <c r="D11" s="26" t="s">
        <v>40</v>
      </c>
      <c r="E11" s="25" t="n">
        <f aca="false">E10+IFERROR(B11,0)</f>
        <v>182.46</v>
      </c>
      <c r="G11" s="35" t="s">
        <v>15</v>
      </c>
      <c r="H11" s="36" t="n">
        <f aca="false">SUMIF(D$2:D$202,"사치 음식",B$2:B$202)</f>
        <v>0</v>
      </c>
      <c r="I11" s="37" t="str">
        <f aca="true">IFERROR((H11-INDIRECT("'"&amp;$H$2&amp;"'!H11"))/INDIRECT("'"&amp;$H$2&amp;"'!H11"),"")</f>
        <v/>
      </c>
    </row>
    <row r="12" customFormat="false" ht="15" hidden="false" customHeight="false" outlineLevel="0" collapsed="false">
      <c r="A12" s="18" t="n">
        <v>45935</v>
      </c>
      <c r="B12" s="19" t="n">
        <v>13.08</v>
      </c>
      <c r="C12" s="13" t="s">
        <v>138</v>
      </c>
      <c r="D12" s="20" t="s">
        <v>61</v>
      </c>
      <c r="E12" s="19" t="n">
        <f aca="false">E11+IFERROR(B12,0)</f>
        <v>195.54</v>
      </c>
      <c r="G12" s="32" t="s">
        <v>16</v>
      </c>
      <c r="H12" s="33" t="n">
        <f aca="false">SUMIF(D$2:D$202,"사치품",B$2:B$202)</f>
        <v>382.63</v>
      </c>
      <c r="I12" s="34" t="n">
        <f aca="true">IFERROR((H12-INDIRECT("'"&amp;$H$2&amp;"'!H12"))/INDIRECT("'"&amp;$H$2&amp;"'!H12"),"")</f>
        <v>0.0519037800687285</v>
      </c>
    </row>
    <row r="13" customFormat="false" ht="15" hidden="false" customHeight="false" outlineLevel="0" collapsed="false">
      <c r="A13" s="49" t="n">
        <v>45936</v>
      </c>
      <c r="B13" s="25" t="n">
        <v>2.49</v>
      </c>
      <c r="C13" s="6" t="s">
        <v>139</v>
      </c>
      <c r="D13" s="26" t="s">
        <v>61</v>
      </c>
      <c r="E13" s="25" t="n">
        <f aca="false">E12+IFERROR(B13,0)</f>
        <v>198.03</v>
      </c>
      <c r="G13" s="35" t="s">
        <v>17</v>
      </c>
      <c r="H13" s="36" t="n">
        <f aca="false">SUMIF(D$2:D$202,"여행",B$2:B$202)</f>
        <v>0</v>
      </c>
      <c r="I13" s="37" t="str">
        <f aca="true">IFERROR((H13-INDIRECT("'"&amp;$H$2&amp;"'!H13"))/INDIRECT("'"&amp;$H$2&amp;"'!H13"),"")</f>
        <v/>
      </c>
    </row>
    <row r="14" customFormat="false" ht="15" hidden="false" customHeight="false" outlineLevel="0" collapsed="false">
      <c r="A14" s="18" t="n">
        <v>45937</v>
      </c>
      <c r="B14" s="19" t="n">
        <v>16</v>
      </c>
      <c r="C14" s="8" t="s">
        <v>140</v>
      </c>
      <c r="D14" s="20" t="s">
        <v>64</v>
      </c>
      <c r="E14" s="19" t="n">
        <f aca="false">E13+IFERROR(B14,0)</f>
        <v>214.03</v>
      </c>
      <c r="G14" s="32" t="s">
        <v>18</v>
      </c>
      <c r="H14" s="33" t="n">
        <f aca="false">SUMIF(D$2:D$202,"자기개발비",B$2:B$202)</f>
        <v>0</v>
      </c>
      <c r="I14" s="34" t="str">
        <f aca="true">IFERROR((H14-INDIRECT("'"&amp;$H$2&amp;"'!H14"))/INDIRECT("'"&amp;$H$2&amp;"'!H14"),"")</f>
        <v/>
      </c>
    </row>
    <row r="15" customFormat="false" ht="15" hidden="false" customHeight="false" outlineLevel="0" collapsed="false">
      <c r="A15" s="26"/>
      <c r="B15" s="25" t="n">
        <v>21</v>
      </c>
      <c r="C15" s="6" t="s">
        <v>141</v>
      </c>
      <c r="D15" s="26" t="s">
        <v>36</v>
      </c>
      <c r="E15" s="25" t="n">
        <f aca="false">E14+IFERROR(B15,0)</f>
        <v>235.03</v>
      </c>
      <c r="G15" s="35" t="s">
        <v>19</v>
      </c>
      <c r="H15" s="36" t="n">
        <f aca="false">H5-SUM(H6:H14)</f>
        <v>25</v>
      </c>
      <c r="I15" s="37" t="n">
        <f aca="true">IFERROR((H15-INDIRECT("'"&amp;$H$2&amp;"'!H15"))/INDIRECT("'"&amp;$H$2&amp;"'!H15"),"")</f>
        <v>0.101806963420006</v>
      </c>
    </row>
    <row r="16" customFormat="false" ht="15" hidden="false" customHeight="false" outlineLevel="0" collapsed="false">
      <c r="A16" s="18" t="n">
        <v>45939</v>
      </c>
      <c r="B16" s="19" t="n">
        <v>9</v>
      </c>
      <c r="C16" s="8" t="s">
        <v>142</v>
      </c>
      <c r="D16" s="20" t="s">
        <v>64</v>
      </c>
      <c r="E16" s="19" t="n">
        <f aca="false">E15+IFERROR(B16,0)</f>
        <v>244.03</v>
      </c>
      <c r="G16" s="27"/>
      <c r="H16" s="27"/>
      <c r="I16" s="27"/>
    </row>
    <row r="17" customFormat="false" ht="15" hidden="false" customHeight="false" outlineLevel="0" collapsed="false">
      <c r="A17" s="26"/>
      <c r="B17" s="25" t="n">
        <v>2.49</v>
      </c>
      <c r="C17" s="6" t="s">
        <v>139</v>
      </c>
      <c r="D17" s="26" t="s">
        <v>61</v>
      </c>
      <c r="E17" s="25" t="n">
        <f aca="false">E16+IFERROR(B17,0)</f>
        <v>246.52</v>
      </c>
      <c r="G17" s="38" t="s">
        <v>62</v>
      </c>
      <c r="H17" s="38"/>
      <c r="I17" s="38"/>
    </row>
    <row r="18" customFormat="false" ht="15" hidden="false" customHeight="false" outlineLevel="0" collapsed="false">
      <c r="A18" s="20"/>
      <c r="B18" s="19" t="n">
        <v>232.95</v>
      </c>
      <c r="C18" s="8" t="s">
        <v>143</v>
      </c>
      <c r="D18" s="20" t="s">
        <v>74</v>
      </c>
      <c r="E18" s="19" t="n">
        <f aca="false">E17+IFERROR(B18,0)</f>
        <v>479.47</v>
      </c>
      <c r="G18" s="32" t="s">
        <v>21</v>
      </c>
      <c r="H18" s="33" t="n">
        <f aca="false">H7+H10+H11</f>
        <v>558.54</v>
      </c>
      <c r="I18" s="41"/>
    </row>
    <row r="19" customFormat="false" ht="15" hidden="false" customHeight="false" outlineLevel="0" collapsed="false">
      <c r="A19" s="49" t="n">
        <v>45940</v>
      </c>
      <c r="B19" s="25" t="n">
        <v>20.46</v>
      </c>
      <c r="C19" s="6" t="s">
        <v>144</v>
      </c>
      <c r="D19" s="26" t="s">
        <v>61</v>
      </c>
      <c r="E19" s="25" t="n">
        <f aca="false">E18+IFERROR(B19,0)</f>
        <v>499.93</v>
      </c>
      <c r="G19" s="39" t="s">
        <v>66</v>
      </c>
      <c r="H19" s="36" t="n">
        <f aca="false">IFERROR(H18/H23,"")</f>
        <v>18.0174193548387</v>
      </c>
      <c r="I19" s="40" t="s">
        <v>67</v>
      </c>
    </row>
    <row r="20" customFormat="false" ht="15" hidden="false" customHeight="false" outlineLevel="0" collapsed="false">
      <c r="A20" s="20"/>
      <c r="B20" s="19" t="n">
        <v>6.09</v>
      </c>
      <c r="C20" s="8" t="s">
        <v>145</v>
      </c>
      <c r="D20" s="20" t="s">
        <v>61</v>
      </c>
      <c r="E20" s="19" t="n">
        <f aca="false">E19+IFERROR(B20,0)</f>
        <v>506.02</v>
      </c>
      <c r="G20" s="41" t="s">
        <v>69</v>
      </c>
      <c r="H20" s="33" t="n">
        <f aca="false">IFERROR(H19/2.5,"")</f>
        <v>7.20696774193548</v>
      </c>
      <c r="I20" s="41"/>
    </row>
    <row r="21" customFormat="false" ht="15" hidden="false" customHeight="false" outlineLevel="0" collapsed="false">
      <c r="A21" s="49" t="n">
        <v>45941</v>
      </c>
      <c r="B21" s="25" t="n">
        <v>36.8</v>
      </c>
      <c r="C21" s="6" t="s">
        <v>146</v>
      </c>
      <c r="D21" s="26" t="s">
        <v>36</v>
      </c>
      <c r="E21" s="25" t="n">
        <f aca="false">E20+IFERROR(B21,0)</f>
        <v>542.82</v>
      </c>
      <c r="G21" s="35" t="s">
        <v>71</v>
      </c>
      <c r="H21" s="42" t="n">
        <f aca="false">IFERROR(H10/H7,"")</f>
        <v>1.4475898334794</v>
      </c>
      <c r="I21" s="40" t="s">
        <v>72</v>
      </c>
    </row>
    <row r="22" customFormat="false" ht="15" hidden="false" customHeight="false" outlineLevel="0" collapsed="false">
      <c r="A22" s="20"/>
      <c r="B22" s="19" t="n">
        <v>14.79</v>
      </c>
      <c r="C22" s="8" t="s">
        <v>147</v>
      </c>
      <c r="D22" s="20" t="s">
        <v>61</v>
      </c>
      <c r="E22" s="19" t="n">
        <f aca="false">E21+IFERROR(B22,0)</f>
        <v>557.61</v>
      </c>
      <c r="G22" s="27"/>
      <c r="H22" s="27"/>
      <c r="I22" s="27"/>
    </row>
    <row r="23" customFormat="false" ht="15" hidden="false" customHeight="false" outlineLevel="0" collapsed="false">
      <c r="A23" s="26"/>
      <c r="B23" s="25" t="n">
        <v>17.1</v>
      </c>
      <c r="C23" s="6" t="s">
        <v>148</v>
      </c>
      <c r="D23" s="26" t="s">
        <v>54</v>
      </c>
      <c r="E23" s="25" t="n">
        <f aca="false">E22+IFERROR(B23,0)</f>
        <v>574.71</v>
      </c>
      <c r="G23" s="43" t="s">
        <v>76</v>
      </c>
      <c r="H23" s="44" t="n">
        <v>31</v>
      </c>
      <c r="I23" s="23" t="s">
        <v>77</v>
      </c>
    </row>
    <row r="24" customFormat="false" ht="15" hidden="false" customHeight="false" outlineLevel="0" collapsed="false">
      <c r="A24" s="20"/>
      <c r="B24" s="19" t="n">
        <v>5</v>
      </c>
      <c r="C24" s="8" t="s">
        <v>68</v>
      </c>
      <c r="D24" s="20" t="s">
        <v>36</v>
      </c>
      <c r="E24" s="19" t="n">
        <f aca="false">E23+IFERROR(B24,0)</f>
        <v>579.71</v>
      </c>
      <c r="G24" s="27"/>
      <c r="H24" s="27"/>
      <c r="I24" s="27"/>
    </row>
    <row r="25" customFormat="false" ht="15" hidden="false" customHeight="false" outlineLevel="0" collapsed="false">
      <c r="A25" s="49" t="n">
        <v>45942</v>
      </c>
      <c r="B25" s="25" t="n">
        <v>4</v>
      </c>
      <c r="C25" s="6" t="s">
        <v>139</v>
      </c>
      <c r="D25" s="26" t="s">
        <v>61</v>
      </c>
      <c r="E25" s="25" t="n">
        <f aca="false">E24+IFERROR(B25,0)</f>
        <v>583.71</v>
      </c>
      <c r="G25" s="38" t="s">
        <v>80</v>
      </c>
      <c r="H25" s="38"/>
      <c r="I25" s="38"/>
    </row>
    <row r="26" customFormat="false" ht="15" hidden="false" customHeight="false" outlineLevel="0" collapsed="false">
      <c r="A26" s="20"/>
      <c r="B26" s="19" t="n">
        <v>19.77</v>
      </c>
      <c r="C26" s="8" t="s">
        <v>149</v>
      </c>
      <c r="D26" s="20" t="s">
        <v>40</v>
      </c>
      <c r="E26" s="19" t="n">
        <f aca="false">E25+IFERROR(B26,0)</f>
        <v>603.48</v>
      </c>
      <c r="G26" s="43" t="s">
        <v>82</v>
      </c>
      <c r="H26" s="45" t="n">
        <v>15</v>
      </c>
      <c r="I26" s="23" t="s">
        <v>83</v>
      </c>
    </row>
    <row r="27" customFormat="false" ht="15" hidden="false" customHeight="false" outlineLevel="0" collapsed="false">
      <c r="A27" s="26"/>
      <c r="B27" s="25" t="n">
        <v>29.5</v>
      </c>
      <c r="C27" s="6" t="s">
        <v>150</v>
      </c>
      <c r="D27" s="26" t="s">
        <v>61</v>
      </c>
      <c r="E27" s="25" t="n">
        <f aca="false">E26+IFERROR(B27,0)</f>
        <v>632.98</v>
      </c>
      <c r="G27" s="32" t="s">
        <v>85</v>
      </c>
      <c r="H27" s="33" t="n">
        <f aca="false">H26/2.5</f>
        <v>6</v>
      </c>
      <c r="I27" s="41"/>
    </row>
    <row r="28" customFormat="false" ht="15" hidden="false" customHeight="false" outlineLevel="0" collapsed="false">
      <c r="A28" s="20"/>
      <c r="B28" s="19" t="n">
        <v>10</v>
      </c>
      <c r="C28" s="8" t="s">
        <v>151</v>
      </c>
      <c r="D28" s="20" t="s">
        <v>74</v>
      </c>
      <c r="E28" s="19" t="n">
        <f aca="false">E27+IFERROR(B28,0)</f>
        <v>642.98</v>
      </c>
      <c r="G28" s="46" t="s">
        <v>87</v>
      </c>
      <c r="H28" s="22" t="s">
        <v>88</v>
      </c>
      <c r="I28" s="23" t="s">
        <v>83</v>
      </c>
    </row>
    <row r="29" customFormat="false" ht="15" hidden="false" customHeight="false" outlineLevel="0" collapsed="false">
      <c r="A29" s="49" t="n">
        <v>45943</v>
      </c>
      <c r="B29" s="25" t="n">
        <v>2.6</v>
      </c>
      <c r="C29" s="6" t="s">
        <v>139</v>
      </c>
      <c r="D29" s="26" t="s">
        <v>61</v>
      </c>
      <c r="E29" s="25" t="n">
        <f aca="false">E28+IFERROR(B29,0)</f>
        <v>645.58</v>
      </c>
      <c r="G29" s="27"/>
      <c r="H29" s="27"/>
      <c r="I29" s="27"/>
    </row>
    <row r="30" customFormat="false" ht="15" hidden="false" customHeight="false" outlineLevel="0" collapsed="false">
      <c r="A30" s="20"/>
      <c r="B30" s="19" t="n">
        <v>6.99</v>
      </c>
      <c r="C30" s="8" t="s">
        <v>99</v>
      </c>
      <c r="D30" s="20" t="s">
        <v>61</v>
      </c>
      <c r="E30" s="19" t="n">
        <f aca="false">E29+IFERROR(B30,0)</f>
        <v>652.57</v>
      </c>
      <c r="G30" s="38" t="s">
        <v>91</v>
      </c>
      <c r="H30" s="38"/>
      <c r="I30" s="38"/>
    </row>
    <row r="31" customFormat="false" ht="15" hidden="false" customHeight="false" outlineLevel="0" collapsed="false">
      <c r="A31" s="49" t="n">
        <v>45944</v>
      </c>
      <c r="B31" s="25" t="n">
        <v>11.59</v>
      </c>
      <c r="C31" s="6" t="s">
        <v>152</v>
      </c>
      <c r="D31" s="26" t="s">
        <v>46</v>
      </c>
      <c r="E31" s="25" t="n">
        <f aca="false">E30+IFERROR(B31,0)</f>
        <v>664.16</v>
      </c>
      <c r="G31" s="43" t="s">
        <v>26</v>
      </c>
      <c r="H31" s="45" t="n">
        <f aca="false">'2025년 9월'!H31-'2025년 9월'!H5</f>
        <v>13511.92</v>
      </c>
      <c r="I31" s="23" t="s">
        <v>83</v>
      </c>
    </row>
    <row r="32" customFormat="false" ht="15" hidden="false" customHeight="false" outlineLevel="0" collapsed="false">
      <c r="A32" s="20"/>
      <c r="B32" s="19" t="n">
        <v>3.47</v>
      </c>
      <c r="C32" s="8" t="s">
        <v>153</v>
      </c>
      <c r="D32" s="20" t="s">
        <v>46</v>
      </c>
      <c r="E32" s="19" t="n">
        <f aca="false">E31+IFERROR(B32,0)</f>
        <v>667.63</v>
      </c>
      <c r="G32" s="32" t="s">
        <v>27</v>
      </c>
      <c r="H32" s="33" t="n">
        <f aca="false">AVERAGE('2025년 9월'!H5,H5)</f>
        <v>1500.155</v>
      </c>
      <c r="I32" s="41"/>
    </row>
    <row r="33" customFormat="false" ht="15" hidden="false" customHeight="false" outlineLevel="0" collapsed="false">
      <c r="A33" s="49" t="n">
        <v>45945</v>
      </c>
      <c r="B33" s="25" t="n">
        <v>13.5</v>
      </c>
      <c r="C33" s="6" t="s">
        <v>154</v>
      </c>
      <c r="D33" s="26" t="s">
        <v>61</v>
      </c>
      <c r="E33" s="25" t="n">
        <f aca="false">E32+IFERROR(B33,0)</f>
        <v>681.13</v>
      </c>
      <c r="G33" s="46" t="s">
        <v>95</v>
      </c>
      <c r="H33" s="47" t="n">
        <f aca="false">IFERROR(H31/H32,"")</f>
        <v>9.00701594168602</v>
      </c>
      <c r="I33" s="46" t="s">
        <v>96</v>
      </c>
    </row>
    <row r="34" customFormat="false" ht="15" hidden="false" customHeight="false" outlineLevel="0" collapsed="false">
      <c r="A34" s="18" t="n">
        <v>45948</v>
      </c>
      <c r="B34" s="19" t="n">
        <v>15.72</v>
      </c>
      <c r="C34" s="8" t="s">
        <v>113</v>
      </c>
      <c r="D34" s="20" t="s">
        <v>74</v>
      </c>
      <c r="E34" s="19" t="n">
        <f aca="false">E33+IFERROR(B34,0)</f>
        <v>696.85</v>
      </c>
      <c r="G34" s="32" t="s">
        <v>98</v>
      </c>
      <c r="H34" s="48" t="n">
        <f aca="true">IFERROR(TODAY()+H33*30,"")</f>
        <v>46352.2104782506</v>
      </c>
      <c r="I34" s="41"/>
    </row>
    <row r="35" customFormat="false" ht="15" hidden="false" customHeight="false" outlineLevel="0" collapsed="false">
      <c r="A35" s="26"/>
      <c r="B35" s="25" t="n">
        <v>14.01</v>
      </c>
      <c r="C35" s="6" t="s">
        <v>155</v>
      </c>
      <c r="D35" s="26" t="s">
        <v>61</v>
      </c>
      <c r="E35" s="25" t="n">
        <f aca="false">E34+IFERROR(B35,0)</f>
        <v>710.86</v>
      </c>
    </row>
    <row r="36" customFormat="false" ht="15" hidden="false" customHeight="false" outlineLevel="0" collapsed="false">
      <c r="A36" s="18" t="n">
        <v>45949</v>
      </c>
      <c r="B36" s="19" t="n">
        <v>9.08</v>
      </c>
      <c r="C36" s="8" t="s">
        <v>154</v>
      </c>
      <c r="D36" s="20" t="s">
        <v>61</v>
      </c>
      <c r="E36" s="19" t="n">
        <f aca="false">E35+IFERROR(B36,0)</f>
        <v>719.94</v>
      </c>
    </row>
    <row r="37" customFormat="false" ht="15" hidden="false" customHeight="false" outlineLevel="0" collapsed="false">
      <c r="A37" s="26"/>
      <c r="B37" s="25" t="n">
        <v>62.18</v>
      </c>
      <c r="C37" s="6" t="s">
        <v>156</v>
      </c>
      <c r="D37" s="26" t="s">
        <v>40</v>
      </c>
      <c r="E37" s="25" t="n">
        <f aca="false">E36+IFERROR(B37,0)</f>
        <v>782.12</v>
      </c>
      <c r="G37" s="50" t="s">
        <v>32</v>
      </c>
      <c r="H37" s="50" t="s">
        <v>102</v>
      </c>
    </row>
    <row r="38" customFormat="false" ht="15" hidden="false" customHeight="false" outlineLevel="0" collapsed="false">
      <c r="A38" s="18" t="n">
        <v>45950</v>
      </c>
      <c r="B38" s="19" t="n">
        <v>31</v>
      </c>
      <c r="C38" s="13" t="s">
        <v>157</v>
      </c>
      <c r="D38" s="20" t="s">
        <v>74</v>
      </c>
      <c r="E38" s="19" t="n">
        <f aca="false">E37+IFERROR(B38,0)</f>
        <v>813.12</v>
      </c>
      <c r="G38" s="50" t="s">
        <v>36</v>
      </c>
      <c r="H38" s="51" t="n">
        <f aca="false">H6</f>
        <v>114.69</v>
      </c>
    </row>
    <row r="39" customFormat="false" ht="15" hidden="false" customHeight="false" outlineLevel="0" collapsed="false">
      <c r="A39" s="26"/>
      <c r="B39" s="25" t="n">
        <v>5</v>
      </c>
      <c r="C39" s="6" t="s">
        <v>68</v>
      </c>
      <c r="D39" s="26" t="s">
        <v>36</v>
      </c>
      <c r="E39" s="25" t="n">
        <f aca="false">E38+IFERROR(B39,0)</f>
        <v>818.12</v>
      </c>
      <c r="G39" s="50" t="s">
        <v>105</v>
      </c>
      <c r="H39" s="51" t="n">
        <f aca="false">H7+H10</f>
        <v>558.54</v>
      </c>
    </row>
    <row r="40" customFormat="false" ht="15" hidden="false" customHeight="false" outlineLevel="0" collapsed="false">
      <c r="A40" s="20"/>
      <c r="B40" s="19" t="n">
        <v>11.31</v>
      </c>
      <c r="C40" s="13" t="s">
        <v>158</v>
      </c>
      <c r="D40" s="20" t="s">
        <v>61</v>
      </c>
      <c r="E40" s="19" t="n">
        <f aca="false">E39+IFERROR(B40,0)</f>
        <v>829.43</v>
      </c>
      <c r="G40" s="50" t="s">
        <v>46</v>
      </c>
      <c r="H40" s="51" t="n">
        <f aca="false">H8</f>
        <v>74.95</v>
      </c>
    </row>
    <row r="41" customFormat="false" ht="15" hidden="false" customHeight="false" outlineLevel="0" collapsed="false">
      <c r="A41" s="49" t="n">
        <v>45951</v>
      </c>
      <c r="B41" s="25" t="n">
        <v>10</v>
      </c>
      <c r="C41" s="6" t="s">
        <v>139</v>
      </c>
      <c r="D41" s="26" t="s">
        <v>46</v>
      </c>
      <c r="E41" s="25" t="n">
        <f aca="false">E40+IFERROR(B41,0)</f>
        <v>839.43</v>
      </c>
      <c r="G41" s="50" t="s">
        <v>54</v>
      </c>
      <c r="H41" s="51" t="n">
        <f aca="false">H9</f>
        <v>56.42</v>
      </c>
    </row>
    <row r="42" customFormat="false" ht="15" hidden="false" customHeight="false" outlineLevel="0" collapsed="false">
      <c r="A42" s="18" t="n">
        <v>45952</v>
      </c>
      <c r="B42" s="19" t="n">
        <v>7.08</v>
      </c>
      <c r="C42" s="8" t="s">
        <v>159</v>
      </c>
      <c r="D42" s="20" t="s">
        <v>46</v>
      </c>
      <c r="E42" s="19" t="n">
        <f aca="false">E41+IFERROR(B42,0)</f>
        <v>846.51</v>
      </c>
      <c r="G42" s="50" t="s">
        <v>74</v>
      </c>
      <c r="H42" s="51" t="n">
        <f aca="false">H12</f>
        <v>382.63</v>
      </c>
    </row>
    <row r="43" customFormat="false" ht="15" hidden="false" customHeight="false" outlineLevel="0" collapsed="false">
      <c r="A43" s="26"/>
      <c r="B43" s="25" t="n">
        <v>5.35</v>
      </c>
      <c r="C43" s="6" t="s">
        <v>160</v>
      </c>
      <c r="D43" s="26" t="s">
        <v>61</v>
      </c>
      <c r="E43" s="25" t="n">
        <f aca="false">E42+IFERROR(B43,0)</f>
        <v>851.86</v>
      </c>
      <c r="G43" s="50" t="s">
        <v>109</v>
      </c>
      <c r="H43" s="51" t="n">
        <f aca="false">H15</f>
        <v>25</v>
      </c>
    </row>
    <row r="44" customFormat="false" ht="15" hidden="false" customHeight="false" outlineLevel="0" collapsed="false">
      <c r="A44" s="18" t="n">
        <v>45953</v>
      </c>
      <c r="B44" s="19" t="n">
        <v>11.31</v>
      </c>
      <c r="C44" s="13" t="s">
        <v>158</v>
      </c>
      <c r="D44" s="20" t="s">
        <v>61</v>
      </c>
      <c r="E44" s="19" t="n">
        <f aca="false">E43+IFERROR(B44,0)</f>
        <v>863.17</v>
      </c>
    </row>
    <row r="45" customFormat="false" ht="15" hidden="false" customHeight="false" outlineLevel="0" collapsed="false">
      <c r="A45" s="26"/>
      <c r="B45" s="25" t="n">
        <v>17.72</v>
      </c>
      <c r="C45" s="6" t="s">
        <v>159</v>
      </c>
      <c r="D45" s="26" t="s">
        <v>46</v>
      </c>
      <c r="E45" s="25" t="n">
        <f aca="false">E44+IFERROR(B45,0)</f>
        <v>880.89</v>
      </c>
    </row>
    <row r="46" customFormat="false" ht="15" hidden="false" customHeight="false" outlineLevel="0" collapsed="false">
      <c r="A46" s="20"/>
      <c r="B46" s="19" t="n">
        <v>8.21</v>
      </c>
      <c r="C46" s="8" t="s">
        <v>161</v>
      </c>
      <c r="D46" s="20" t="s">
        <v>74</v>
      </c>
      <c r="E46" s="19" t="n">
        <f aca="false">E45+IFERROR(B46,0)</f>
        <v>889.1</v>
      </c>
    </row>
    <row r="47" customFormat="false" ht="15" hidden="false" customHeight="false" outlineLevel="0" collapsed="false">
      <c r="A47" s="26"/>
      <c r="B47" s="25" t="n">
        <v>26.95</v>
      </c>
      <c r="C47" s="6" t="s">
        <v>162</v>
      </c>
      <c r="D47" s="26" t="s">
        <v>36</v>
      </c>
      <c r="E47" s="25" t="n">
        <f aca="false">E46+IFERROR(B47,0)</f>
        <v>916.05</v>
      </c>
    </row>
    <row r="48" customFormat="false" ht="15" hidden="false" customHeight="false" outlineLevel="0" collapsed="false">
      <c r="A48" s="18" t="n">
        <v>45954</v>
      </c>
      <c r="B48" s="19" t="n">
        <v>9.99</v>
      </c>
      <c r="C48" s="8" t="s">
        <v>163</v>
      </c>
      <c r="D48" s="20" t="s">
        <v>61</v>
      </c>
      <c r="E48" s="19" t="n">
        <f aca="false">E47+IFERROR(B48,0)</f>
        <v>926.04</v>
      </c>
    </row>
    <row r="49" customFormat="false" ht="15" hidden="false" customHeight="false" outlineLevel="0" collapsed="false">
      <c r="A49" s="49" t="n">
        <v>45957</v>
      </c>
      <c r="B49" s="25" t="n">
        <v>20.47</v>
      </c>
      <c r="C49" s="12" t="s">
        <v>164</v>
      </c>
      <c r="D49" s="26" t="s">
        <v>61</v>
      </c>
      <c r="E49" s="25" t="n">
        <f aca="false">E48+IFERROR(B49,0)</f>
        <v>946.51</v>
      </c>
    </row>
    <row r="50" customFormat="false" ht="15" hidden="false" customHeight="false" outlineLevel="0" collapsed="false">
      <c r="A50" s="20"/>
      <c r="B50" s="19" t="n">
        <v>9.99</v>
      </c>
      <c r="C50" s="8" t="s">
        <v>165</v>
      </c>
      <c r="D50" s="20" t="s">
        <v>61</v>
      </c>
      <c r="E50" s="19" t="n">
        <f aca="false">E49+IFERROR(B50,0)</f>
        <v>956.5</v>
      </c>
    </row>
    <row r="51" customFormat="false" ht="15" hidden="false" customHeight="false" outlineLevel="0" collapsed="false">
      <c r="A51" s="26"/>
      <c r="B51" s="25" t="n">
        <v>14.42</v>
      </c>
      <c r="C51" s="6" t="s">
        <v>166</v>
      </c>
      <c r="D51" s="26" t="s">
        <v>61</v>
      </c>
      <c r="E51" s="25" t="n">
        <f aca="false">E50+IFERROR(B51,0)</f>
        <v>970.92</v>
      </c>
    </row>
    <row r="52" customFormat="false" ht="15" hidden="false" customHeight="false" outlineLevel="0" collapsed="false">
      <c r="A52" s="18" t="n">
        <v>45958</v>
      </c>
      <c r="B52" s="19" t="n">
        <v>17.6</v>
      </c>
      <c r="C52" s="8" t="s">
        <v>163</v>
      </c>
      <c r="D52" s="20" t="s">
        <v>61</v>
      </c>
      <c r="E52" s="19" t="n">
        <f aca="false">E51+IFERROR(B52,0)</f>
        <v>988.52</v>
      </c>
    </row>
    <row r="53" customFormat="false" ht="15" hidden="false" customHeight="false" outlineLevel="0" collapsed="false">
      <c r="A53" s="26"/>
      <c r="B53" s="25" t="n">
        <v>52.42</v>
      </c>
      <c r="C53" s="6" t="s">
        <v>167</v>
      </c>
      <c r="D53" s="26" t="s">
        <v>74</v>
      </c>
      <c r="E53" s="25" t="n">
        <f aca="false">E52+IFERROR(B53,0)</f>
        <v>1040.94</v>
      </c>
    </row>
    <row r="54" customFormat="false" ht="15" hidden="false" customHeight="false" outlineLevel="0" collapsed="false">
      <c r="A54" s="20"/>
      <c r="B54" s="19" t="n">
        <v>5</v>
      </c>
      <c r="C54" s="8" t="s">
        <v>68</v>
      </c>
      <c r="D54" s="20" t="s">
        <v>36</v>
      </c>
      <c r="E54" s="19" t="n">
        <f aca="false">E53+IFERROR(B54,0)</f>
        <v>1045.94</v>
      </c>
    </row>
    <row r="55" customFormat="false" ht="15" hidden="false" customHeight="false" outlineLevel="0" collapsed="false">
      <c r="A55" s="26"/>
      <c r="B55" s="25" t="n">
        <v>39.32</v>
      </c>
      <c r="C55" s="6" t="s">
        <v>168</v>
      </c>
      <c r="D55" s="26" t="s">
        <v>54</v>
      </c>
      <c r="E55" s="25" t="n">
        <f aca="false">E54+IFERROR(B55,0)</f>
        <v>1085.26</v>
      </c>
    </row>
    <row r="56" customFormat="false" ht="15" hidden="false" customHeight="false" outlineLevel="0" collapsed="false">
      <c r="A56" s="20"/>
      <c r="B56" s="19" t="n">
        <v>43.96</v>
      </c>
      <c r="C56" s="8" t="s">
        <v>40</v>
      </c>
      <c r="D56" s="20" t="s">
        <v>40</v>
      </c>
      <c r="E56" s="19" t="n">
        <f aca="false">E55+IFERROR(B56,0)</f>
        <v>1129.22</v>
      </c>
    </row>
    <row r="57" customFormat="false" ht="15" hidden="false" customHeight="false" outlineLevel="0" collapsed="false">
      <c r="A57" s="26"/>
      <c r="B57" s="25" t="n">
        <v>32.33</v>
      </c>
      <c r="C57" s="6" t="s">
        <v>161</v>
      </c>
      <c r="D57" s="26" t="s">
        <v>74</v>
      </c>
      <c r="E57" s="25" t="n">
        <f aca="false">E56+IFERROR(B57,0)</f>
        <v>1161.55</v>
      </c>
    </row>
    <row r="58" customFormat="false" ht="15" hidden="false" customHeight="false" outlineLevel="0" collapsed="false">
      <c r="A58" s="18" t="n">
        <v>45959</v>
      </c>
      <c r="B58" s="19" t="n">
        <v>12.81</v>
      </c>
      <c r="C58" s="13" t="s">
        <v>169</v>
      </c>
      <c r="D58" s="20" t="s">
        <v>61</v>
      </c>
      <c r="E58" s="19" t="n">
        <f aca="false">E57+IFERROR(B58,0)</f>
        <v>1174.36</v>
      </c>
    </row>
    <row r="59" customFormat="false" ht="15" hidden="false" customHeight="false" outlineLevel="0" collapsed="false">
      <c r="A59" s="49" t="n">
        <v>45960</v>
      </c>
      <c r="B59" s="25" t="n">
        <v>11.31</v>
      </c>
      <c r="C59" s="12" t="s">
        <v>158</v>
      </c>
      <c r="D59" s="26" t="s">
        <v>61</v>
      </c>
      <c r="E59" s="25" t="n">
        <f aca="false">E58+IFERROR(B59,0)</f>
        <v>1185.67</v>
      </c>
    </row>
    <row r="60" customFormat="false" ht="15" hidden="false" customHeight="false" outlineLevel="0" collapsed="false">
      <c r="A60" s="20"/>
      <c r="B60" s="19" t="n">
        <v>20.46</v>
      </c>
      <c r="C60" s="13" t="s">
        <v>170</v>
      </c>
      <c r="D60" s="20" t="s">
        <v>61</v>
      </c>
      <c r="E60" s="19" t="n">
        <f aca="false">E59+IFERROR(B60,0)</f>
        <v>1206.13</v>
      </c>
    </row>
    <row r="61" customFormat="false" ht="15" hidden="false" customHeight="false" outlineLevel="0" collapsed="false">
      <c r="A61" s="49" t="n">
        <v>45961</v>
      </c>
      <c r="B61" s="25" t="n">
        <v>6.1</v>
      </c>
      <c r="C61" s="6" t="s">
        <v>171</v>
      </c>
      <c r="D61" s="26" t="s">
        <v>46</v>
      </c>
      <c r="E61" s="25" t="n">
        <f aca="false">E60+IFERROR(B61,0)</f>
        <v>1212.23</v>
      </c>
    </row>
  </sheetData>
  <mergeCells count="4">
    <mergeCell ref="G1:I1"/>
    <mergeCell ref="G17:I17"/>
    <mergeCell ref="G25:I25"/>
    <mergeCell ref="G30:I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28"/>
    <col collapsed="false" customWidth="true" hidden="false" outlineLevel="0" max="5" min="4" style="0" width="12"/>
    <col collapsed="false" customWidth="true" hidden="false" outlineLevel="0" max="6" min="6" style="0" width="1.51"/>
    <col collapsed="false" customWidth="true" hidden="false" outlineLevel="0" max="7" min="7" style="0" width="24"/>
    <col collapsed="false" customWidth="true" hidden="false" outlineLevel="0" max="8" min="8" style="0" width="14"/>
    <col collapsed="false" customWidth="true" hidden="false" outlineLevel="0" max="9" min="9" style="0" width="13"/>
  </cols>
  <sheetData>
    <row r="1" customFormat="false" ht="27.75" hidden="false" customHeight="true" outlineLevel="0" collapsed="false">
      <c r="A1" s="16" t="s">
        <v>29</v>
      </c>
      <c r="B1" s="16" t="s">
        <v>30</v>
      </c>
      <c r="C1" s="16" t="s">
        <v>31</v>
      </c>
      <c r="D1" s="16" t="s">
        <v>32</v>
      </c>
      <c r="E1" s="16" t="s">
        <v>33</v>
      </c>
      <c r="G1" s="17" t="s">
        <v>172</v>
      </c>
      <c r="H1" s="17"/>
      <c r="I1" s="17"/>
    </row>
    <row r="2" customFormat="false" ht="15" hidden="false" customHeight="false" outlineLevel="0" collapsed="false">
      <c r="A2" s="18" t="n">
        <v>45964</v>
      </c>
      <c r="B2" s="19" t="n">
        <v>7.01</v>
      </c>
      <c r="C2" s="8" t="s">
        <v>173</v>
      </c>
      <c r="D2" s="20" t="s">
        <v>64</v>
      </c>
      <c r="E2" s="19" t="n">
        <f aca="false">IFERROR(B2,0)</f>
        <v>7.01</v>
      </c>
      <c r="G2" s="21" t="s">
        <v>37</v>
      </c>
      <c r="H2" s="22" t="s">
        <v>174</v>
      </c>
      <c r="I2" s="23" t="s">
        <v>38</v>
      </c>
    </row>
    <row r="3" customFormat="false" ht="15" hidden="false" customHeight="false" outlineLevel="0" collapsed="false">
      <c r="A3" s="26"/>
      <c r="B3" s="25" t="n">
        <v>17.66</v>
      </c>
      <c r="C3" s="6" t="s">
        <v>175</v>
      </c>
      <c r="D3" s="26" t="s">
        <v>61</v>
      </c>
      <c r="E3" s="25" t="n">
        <f aca="false">E2+IFERROR(B3,0)</f>
        <v>24.67</v>
      </c>
      <c r="G3" s="27"/>
      <c r="H3" s="27"/>
      <c r="I3" s="27"/>
    </row>
    <row r="4" customFormat="false" ht="15" hidden="false" customHeight="false" outlineLevel="0" collapsed="false">
      <c r="A4" s="20"/>
      <c r="B4" s="19" t="n">
        <v>822.61</v>
      </c>
      <c r="C4" s="8" t="s">
        <v>176</v>
      </c>
      <c r="D4" s="20" t="s">
        <v>177</v>
      </c>
      <c r="E4" s="19" t="n">
        <f aca="false">E3+IFERROR(B4,0)</f>
        <v>847.28</v>
      </c>
      <c r="G4" s="2" t="s">
        <v>42</v>
      </c>
      <c r="H4" s="28" t="s">
        <v>43</v>
      </c>
      <c r="I4" s="28" t="s">
        <v>44</v>
      </c>
    </row>
    <row r="5" customFormat="false" ht="15" hidden="false" customHeight="false" outlineLevel="0" collapsed="false">
      <c r="A5" s="26"/>
      <c r="B5" s="25" t="n">
        <v>150</v>
      </c>
      <c r="C5" s="6" t="s">
        <v>178</v>
      </c>
      <c r="D5" s="26" t="s">
        <v>177</v>
      </c>
      <c r="E5" s="25" t="n">
        <f aca="false">E4+IFERROR(B5,0)</f>
        <v>997.28</v>
      </c>
      <c r="G5" s="29" t="s">
        <v>9</v>
      </c>
      <c r="H5" s="30" t="n">
        <f aca="false">SUM(B$2:B$202)</f>
        <v>2460.18</v>
      </c>
      <c r="I5" s="31" t="n">
        <f aca="true">IFERROR((H5-INDIRECT("'"&amp;$H$2&amp;"'!H5"))/INDIRECT("'"&amp;$H$2&amp;"'!H5"),"")</f>
        <v>1.0294663553946</v>
      </c>
    </row>
    <row r="6" customFormat="false" ht="15" hidden="false" customHeight="false" outlineLevel="0" collapsed="false">
      <c r="A6" s="20"/>
      <c r="B6" s="19" t="n">
        <v>25.8</v>
      </c>
      <c r="C6" s="8" t="s">
        <v>179</v>
      </c>
      <c r="D6" s="20" t="s">
        <v>61</v>
      </c>
      <c r="E6" s="19" t="n">
        <f aca="false">E5+IFERROR(B6,0)</f>
        <v>1023.08</v>
      </c>
      <c r="G6" s="32" t="s">
        <v>10</v>
      </c>
      <c r="H6" s="33" t="n">
        <f aca="false">SUMIF(D$2:D$202,"생필품",B$2:B$202)</f>
        <v>302.2</v>
      </c>
      <c r="I6" s="34" t="n">
        <f aca="true">IFERROR((H6-INDIRECT("'"&amp;$H$2&amp;"'!H6"))/INDIRECT("'"&amp;$H$2&amp;"'!H6"),"")</f>
        <v>1.63492893887872</v>
      </c>
    </row>
    <row r="7" customFormat="false" ht="15" hidden="false" customHeight="false" outlineLevel="0" collapsed="false">
      <c r="A7" s="49" t="n">
        <v>45965</v>
      </c>
      <c r="B7" s="25" t="n">
        <v>16.15</v>
      </c>
      <c r="C7" s="6" t="s">
        <v>175</v>
      </c>
      <c r="D7" s="26" t="s">
        <v>61</v>
      </c>
      <c r="E7" s="25" t="n">
        <f aca="false">E6+IFERROR(B7,0)</f>
        <v>1039.23</v>
      </c>
      <c r="G7" s="35" t="s">
        <v>11</v>
      </c>
      <c r="H7" s="36" t="n">
        <f aca="false">SUMIF(D$2:D$202,"식재료",B$2:B$202)</f>
        <v>42.98</v>
      </c>
      <c r="I7" s="37" t="n">
        <f aca="true">IFERROR((H7-INDIRECT("'"&amp;$H$2&amp;"'!H7"))/INDIRECT("'"&amp;$H$2&amp;"'!H7"),"")</f>
        <v>-0.811656441717792</v>
      </c>
    </row>
    <row r="8" customFormat="false" ht="15" hidden="false" customHeight="false" outlineLevel="0" collapsed="false">
      <c r="A8" s="20"/>
      <c r="B8" s="19" t="n">
        <v>158.75</v>
      </c>
      <c r="C8" s="8" t="s">
        <v>180</v>
      </c>
      <c r="D8" s="20" t="s">
        <v>61</v>
      </c>
      <c r="E8" s="19" t="n">
        <f aca="false">E7+IFERROR(B8,0)</f>
        <v>1197.98</v>
      </c>
      <c r="G8" s="32" t="s">
        <v>12</v>
      </c>
      <c r="H8" s="33" t="n">
        <f aca="false">SUMIF(D$2:D$202,"보조제",B$2:B$202)</f>
        <v>88.74</v>
      </c>
      <c r="I8" s="34" t="n">
        <f aca="true">IFERROR((H8-INDIRECT("'"&amp;$H$2&amp;"'!H8"))/INDIRECT("'"&amp;$H$2&amp;"'!H8"),"")</f>
        <v>0.183989326217478</v>
      </c>
    </row>
    <row r="9" customFormat="false" ht="15" hidden="false" customHeight="false" outlineLevel="0" collapsed="false">
      <c r="A9" s="26"/>
      <c r="B9" s="25" t="n">
        <v>15.81</v>
      </c>
      <c r="C9" s="6" t="s">
        <v>181</v>
      </c>
      <c r="D9" s="26" t="s">
        <v>46</v>
      </c>
      <c r="E9" s="25" t="n">
        <f aca="false">E8+IFERROR(B9,0)</f>
        <v>1213.79</v>
      </c>
      <c r="G9" s="35" t="s">
        <v>13</v>
      </c>
      <c r="H9" s="36" t="n">
        <f aca="false">SUMIF(D$2:D$202,"교통비",B$2:B$202)</f>
        <v>384.81</v>
      </c>
      <c r="I9" s="37" t="n">
        <f aca="true">IFERROR((H9-INDIRECT("'"&amp;$H$2&amp;"'!H9"))/INDIRECT("'"&amp;$H$2&amp;"'!H9"),"")</f>
        <v>5.82045373980858</v>
      </c>
    </row>
    <row r="10" customFormat="false" ht="15" hidden="false" customHeight="false" outlineLevel="0" collapsed="false">
      <c r="A10" s="20"/>
      <c r="B10" s="19" t="n">
        <v>5</v>
      </c>
      <c r="C10" s="8" t="s">
        <v>68</v>
      </c>
      <c r="D10" s="20" t="s">
        <v>36</v>
      </c>
      <c r="E10" s="19" t="n">
        <f aca="false">E9+IFERROR(B10,0)</f>
        <v>1218.79</v>
      </c>
      <c r="G10" s="32" t="s">
        <v>14</v>
      </c>
      <c r="H10" s="33" t="n">
        <f aca="false">SUMIF(D$2:D$202,"외식",B$2:B$202)</f>
        <v>447.7</v>
      </c>
      <c r="I10" s="34" t="n">
        <f aca="true">IFERROR((H10-INDIRECT("'"&amp;$H$2&amp;"'!H10"))/INDIRECT("'"&amp;$H$2&amp;"'!H10"),"")</f>
        <v>0.355270327541321</v>
      </c>
    </row>
    <row r="11" customFormat="false" ht="15" hidden="false" customHeight="false" outlineLevel="0" collapsed="false">
      <c r="A11" s="49" t="n">
        <v>45966</v>
      </c>
      <c r="B11" s="25" t="n">
        <v>11.84</v>
      </c>
      <c r="C11" s="12" t="s">
        <v>182</v>
      </c>
      <c r="D11" s="26" t="s">
        <v>61</v>
      </c>
      <c r="E11" s="25" t="n">
        <f aca="false">E10+IFERROR(B11,0)</f>
        <v>1230.63</v>
      </c>
      <c r="G11" s="35" t="s">
        <v>15</v>
      </c>
      <c r="H11" s="36" t="n">
        <f aca="false">SUMIF(D$2:D$202,"사치 음식",B$2:B$202)</f>
        <v>0</v>
      </c>
      <c r="I11" s="37" t="str">
        <f aca="true">IFERROR((H11-INDIRECT("'"&amp;$H$2&amp;"'!H11"))/INDIRECT("'"&amp;$H$2&amp;"'!H11"),"")</f>
        <v/>
      </c>
    </row>
    <row r="12" customFormat="false" ht="15" hidden="false" customHeight="false" outlineLevel="0" collapsed="false">
      <c r="A12" s="18" t="n">
        <v>45967</v>
      </c>
      <c r="B12" s="19" t="n">
        <v>10.54</v>
      </c>
      <c r="C12" s="8" t="s">
        <v>159</v>
      </c>
      <c r="D12" s="20" t="s">
        <v>46</v>
      </c>
      <c r="E12" s="19" t="n">
        <f aca="false">E11+IFERROR(B12,0)</f>
        <v>1241.17</v>
      </c>
      <c r="G12" s="32" t="s">
        <v>16</v>
      </c>
      <c r="H12" s="33" t="n">
        <f aca="false">SUMIF(D$2:D$202,"사치품",B$2:B$202)</f>
        <v>204.94</v>
      </c>
      <c r="I12" s="34" t="n">
        <f aca="true">IFERROR((H12-INDIRECT("'"&amp;$H$2&amp;"'!H12"))/INDIRECT("'"&amp;$H$2&amp;"'!H12"),"")</f>
        <v>-0.464391187308889</v>
      </c>
    </row>
    <row r="13" customFormat="false" ht="15" hidden="false" customHeight="false" outlineLevel="0" collapsed="false">
      <c r="A13" s="26"/>
      <c r="B13" s="25" t="n">
        <v>9.19</v>
      </c>
      <c r="C13" s="12" t="s">
        <v>183</v>
      </c>
      <c r="D13" s="26" t="s">
        <v>64</v>
      </c>
      <c r="E13" s="25" t="n">
        <f aca="false">E12+IFERROR(B13,0)</f>
        <v>1250.36</v>
      </c>
      <c r="G13" s="35" t="s">
        <v>17</v>
      </c>
      <c r="H13" s="36" t="n">
        <f aca="false">SUMIF(D$2:D$202,"여행",B$2:B$202)</f>
        <v>972.61</v>
      </c>
      <c r="I13" s="37" t="str">
        <f aca="true">IFERROR((H13-INDIRECT("'"&amp;$H$2&amp;"'!H13"))/INDIRECT("'"&amp;$H$2&amp;"'!H13"),"")</f>
        <v/>
      </c>
    </row>
    <row r="14" customFormat="false" ht="15" hidden="false" customHeight="false" outlineLevel="0" collapsed="false">
      <c r="A14" s="20"/>
      <c r="B14" s="19" t="n">
        <v>23</v>
      </c>
      <c r="C14" s="8" t="s">
        <v>184</v>
      </c>
      <c r="D14" s="20" t="s">
        <v>54</v>
      </c>
      <c r="E14" s="19" t="n">
        <f aca="false">E13+IFERROR(B14,0)</f>
        <v>1273.36</v>
      </c>
      <c r="G14" s="32" t="s">
        <v>18</v>
      </c>
      <c r="H14" s="33" t="n">
        <f aca="false">SUMIF(D$2:D$202,"자기개발비",B$2:B$202)</f>
        <v>0</v>
      </c>
      <c r="I14" s="34" t="str">
        <f aca="true">IFERROR((H14-INDIRECT("'"&amp;$H$2&amp;"'!H14"))/INDIRECT("'"&amp;$H$2&amp;"'!H14"),"")</f>
        <v/>
      </c>
    </row>
    <row r="15" customFormat="false" ht="15" hidden="false" customHeight="false" outlineLevel="0" collapsed="false">
      <c r="A15" s="26"/>
      <c r="B15" s="25" t="n">
        <v>-100</v>
      </c>
      <c r="C15" s="6" t="s">
        <v>185</v>
      </c>
      <c r="D15" s="26" t="s">
        <v>36</v>
      </c>
      <c r="E15" s="25" t="n">
        <f aca="false">E14+IFERROR(B15,0)</f>
        <v>1173.36</v>
      </c>
      <c r="G15" s="35" t="s">
        <v>19</v>
      </c>
      <c r="H15" s="36" t="n">
        <f aca="false">H5-SUM(H6:H14)</f>
        <v>16.1999999999998</v>
      </c>
      <c r="I15" s="37" t="n">
        <f aca="true">IFERROR((H15-INDIRECT("'"&amp;$H$2&amp;"'!H15"))/INDIRECT("'"&amp;$H$2&amp;"'!H15"),"")</f>
        <v>-0.352000000000007</v>
      </c>
    </row>
    <row r="16" customFormat="false" ht="15" hidden="false" customHeight="false" outlineLevel="0" collapsed="false">
      <c r="A16" s="20"/>
      <c r="B16" s="19" t="n">
        <v>8.38</v>
      </c>
      <c r="C16" s="8" t="s">
        <v>159</v>
      </c>
      <c r="D16" s="20" t="s">
        <v>46</v>
      </c>
      <c r="E16" s="19" t="n">
        <f aca="false">E15+IFERROR(B16,0)</f>
        <v>1181.74</v>
      </c>
      <c r="G16" s="27"/>
      <c r="H16" s="27"/>
      <c r="I16" s="27"/>
    </row>
    <row r="17" customFormat="false" ht="15" hidden="false" customHeight="false" outlineLevel="0" collapsed="false">
      <c r="A17" s="49" t="n">
        <v>45968</v>
      </c>
      <c r="B17" s="25" t="n">
        <v>11.72</v>
      </c>
      <c r="C17" s="6" t="s">
        <v>186</v>
      </c>
      <c r="D17" s="26" t="s">
        <v>61</v>
      </c>
      <c r="E17" s="25" t="n">
        <f aca="false">E16+IFERROR(B17,0)</f>
        <v>1193.46</v>
      </c>
      <c r="G17" s="38" t="s">
        <v>62</v>
      </c>
      <c r="H17" s="38"/>
      <c r="I17" s="38"/>
    </row>
    <row r="18" customFormat="false" ht="15" hidden="false" customHeight="false" outlineLevel="0" collapsed="false">
      <c r="A18" s="20"/>
      <c r="B18" s="19" t="n">
        <v>9.15</v>
      </c>
      <c r="C18" s="8" t="s">
        <v>187</v>
      </c>
      <c r="D18" s="20" t="s">
        <v>61</v>
      </c>
      <c r="E18" s="19" t="n">
        <f aca="false">E17+IFERROR(B18,0)</f>
        <v>1202.61</v>
      </c>
      <c r="G18" s="32" t="s">
        <v>21</v>
      </c>
      <c r="H18" s="33" t="n">
        <f aca="false">H7+H10+H11</f>
        <v>490.68</v>
      </c>
      <c r="I18" s="41"/>
    </row>
    <row r="19" customFormat="false" ht="15" hidden="false" customHeight="false" outlineLevel="0" collapsed="false">
      <c r="A19" s="26"/>
      <c r="B19" s="25" t="n">
        <v>10.99</v>
      </c>
      <c r="C19" s="6" t="s">
        <v>106</v>
      </c>
      <c r="D19" s="26" t="s">
        <v>40</v>
      </c>
      <c r="E19" s="25" t="n">
        <f aca="false">E18+IFERROR(B19,0)</f>
        <v>1213.6</v>
      </c>
      <c r="G19" s="39" t="s">
        <v>66</v>
      </c>
      <c r="H19" s="36" t="n">
        <f aca="false">IFERROR(H18/H23,"")</f>
        <v>16.356</v>
      </c>
      <c r="I19" s="40" t="s">
        <v>67</v>
      </c>
    </row>
    <row r="20" customFormat="false" ht="15" hidden="false" customHeight="false" outlineLevel="0" collapsed="false">
      <c r="A20" s="18" t="n">
        <v>45969</v>
      </c>
      <c r="B20" s="19" t="n">
        <v>14.2</v>
      </c>
      <c r="C20" s="8" t="s">
        <v>188</v>
      </c>
      <c r="D20" s="20" t="s">
        <v>54</v>
      </c>
      <c r="E20" s="19" t="n">
        <f aca="false">E19+IFERROR(B20,0)</f>
        <v>1227.8</v>
      </c>
      <c r="G20" s="41" t="s">
        <v>69</v>
      </c>
      <c r="H20" s="33" t="n">
        <f aca="false">IFERROR(H19/2.5,"")</f>
        <v>6.5424</v>
      </c>
      <c r="I20" s="41"/>
    </row>
    <row r="21" customFormat="false" ht="15" hidden="false" customHeight="false" outlineLevel="0" collapsed="false">
      <c r="A21" s="49" t="n">
        <v>45970</v>
      </c>
      <c r="B21" s="25" t="n">
        <v>42.5</v>
      </c>
      <c r="C21" s="6" t="s">
        <v>189</v>
      </c>
      <c r="D21" s="26" t="s">
        <v>61</v>
      </c>
      <c r="E21" s="25" t="n">
        <f aca="false">E20+IFERROR(B21,0)</f>
        <v>1270.3</v>
      </c>
      <c r="G21" s="35" t="s">
        <v>71</v>
      </c>
      <c r="H21" s="42" t="n">
        <f aca="false">IFERROR(H10/H7,"")</f>
        <v>10.4164727780363</v>
      </c>
      <c r="I21" s="40" t="s">
        <v>72</v>
      </c>
    </row>
    <row r="22" customFormat="false" ht="15" hidden="false" customHeight="false" outlineLevel="0" collapsed="false">
      <c r="A22" s="20"/>
      <c r="B22" s="19" t="n">
        <v>8.37</v>
      </c>
      <c r="C22" s="8" t="s">
        <v>190</v>
      </c>
      <c r="D22" s="20" t="s">
        <v>61</v>
      </c>
      <c r="E22" s="19" t="n">
        <f aca="false">E21+IFERROR(B22,0)</f>
        <v>1278.67</v>
      </c>
      <c r="G22" s="27"/>
      <c r="H22" s="27"/>
      <c r="I22" s="27"/>
    </row>
    <row r="23" customFormat="false" ht="15" hidden="false" customHeight="false" outlineLevel="0" collapsed="false">
      <c r="A23" s="26"/>
      <c r="B23" s="25" t="n">
        <v>6</v>
      </c>
      <c r="C23" s="6" t="s">
        <v>191</v>
      </c>
      <c r="D23" s="26" t="s">
        <v>54</v>
      </c>
      <c r="E23" s="25" t="n">
        <f aca="false">E22+IFERROR(B23,0)</f>
        <v>1284.67</v>
      </c>
      <c r="G23" s="43" t="s">
        <v>76</v>
      </c>
      <c r="H23" s="44" t="n">
        <v>30</v>
      </c>
      <c r="I23" s="23" t="s">
        <v>77</v>
      </c>
    </row>
    <row r="24" customFormat="false" ht="15" hidden="false" customHeight="false" outlineLevel="0" collapsed="false">
      <c r="A24" s="18" t="n">
        <v>45971</v>
      </c>
      <c r="B24" s="19" t="n">
        <v>2.49</v>
      </c>
      <c r="C24" s="8" t="s">
        <v>192</v>
      </c>
      <c r="D24" s="20" t="s">
        <v>74</v>
      </c>
      <c r="E24" s="19" t="n">
        <f aca="false">E23+IFERROR(B24,0)</f>
        <v>1287.16</v>
      </c>
      <c r="G24" s="27"/>
      <c r="H24" s="27"/>
      <c r="I24" s="27"/>
    </row>
    <row r="25" customFormat="false" ht="15" hidden="false" customHeight="false" outlineLevel="0" collapsed="false">
      <c r="A25" s="26"/>
      <c r="B25" s="25" t="n">
        <v>11.84</v>
      </c>
      <c r="C25" s="6" t="s">
        <v>193</v>
      </c>
      <c r="D25" s="26" t="s">
        <v>61</v>
      </c>
      <c r="E25" s="25" t="n">
        <f aca="false">E24+IFERROR(B25,0)</f>
        <v>1299</v>
      </c>
      <c r="G25" s="38" t="s">
        <v>80</v>
      </c>
      <c r="H25" s="38"/>
      <c r="I25" s="38"/>
    </row>
    <row r="26" customFormat="false" ht="15" hidden="false" customHeight="false" outlineLevel="0" collapsed="false">
      <c r="A26" s="18" t="n">
        <v>45972</v>
      </c>
      <c r="B26" s="19" t="n">
        <v>36.8</v>
      </c>
      <c r="C26" s="8" t="s">
        <v>146</v>
      </c>
      <c r="D26" s="20" t="s">
        <v>36</v>
      </c>
      <c r="E26" s="19" t="n">
        <f aca="false">E25+IFERROR(B26,0)</f>
        <v>1335.8</v>
      </c>
      <c r="G26" s="43" t="s">
        <v>82</v>
      </c>
      <c r="H26" s="45" t="n">
        <v>15</v>
      </c>
      <c r="I26" s="23" t="s">
        <v>83</v>
      </c>
    </row>
    <row r="27" customFormat="false" ht="15" hidden="false" customHeight="false" outlineLevel="0" collapsed="false">
      <c r="A27" s="26"/>
      <c r="B27" s="25" t="n">
        <v>20.62</v>
      </c>
      <c r="C27" s="6" t="s">
        <v>188</v>
      </c>
      <c r="D27" s="26" t="s">
        <v>54</v>
      </c>
      <c r="E27" s="25" t="n">
        <f aca="false">E26+IFERROR(B27,0)</f>
        <v>1356.42</v>
      </c>
      <c r="G27" s="32" t="s">
        <v>85</v>
      </c>
      <c r="H27" s="33" t="n">
        <f aca="false">H26/2.5</f>
        <v>6</v>
      </c>
      <c r="I27" s="41"/>
    </row>
    <row r="28" customFormat="false" ht="15" hidden="false" customHeight="false" outlineLevel="0" collapsed="false">
      <c r="A28" s="20"/>
      <c r="B28" s="19" t="n">
        <v>260</v>
      </c>
      <c r="C28" s="8" t="s">
        <v>194</v>
      </c>
      <c r="D28" s="20" t="s">
        <v>54</v>
      </c>
      <c r="E28" s="19" t="n">
        <f aca="false">E27+IFERROR(B28,0)</f>
        <v>1616.42</v>
      </c>
      <c r="G28" s="46" t="s">
        <v>87</v>
      </c>
      <c r="H28" s="22" t="s">
        <v>88</v>
      </c>
      <c r="I28" s="23" t="s">
        <v>83</v>
      </c>
    </row>
    <row r="29" customFormat="false" ht="15" hidden="false" customHeight="false" outlineLevel="0" collapsed="false">
      <c r="A29" s="49" t="n">
        <v>45973</v>
      </c>
      <c r="B29" s="25" t="n">
        <v>5.93</v>
      </c>
      <c r="C29" s="12" t="s">
        <v>195</v>
      </c>
      <c r="D29" s="26" t="s">
        <v>36</v>
      </c>
      <c r="E29" s="25" t="n">
        <f aca="false">E28+IFERROR(B29,0)</f>
        <v>1622.35</v>
      </c>
      <c r="G29" s="27"/>
      <c r="H29" s="27"/>
      <c r="I29" s="27"/>
    </row>
    <row r="30" customFormat="false" ht="15" hidden="false" customHeight="false" outlineLevel="0" collapsed="false">
      <c r="A30" s="18" t="n">
        <v>45974</v>
      </c>
      <c r="B30" s="19" t="n">
        <v>10.25</v>
      </c>
      <c r="C30" s="8" t="s">
        <v>68</v>
      </c>
      <c r="D30" s="20" t="s">
        <v>36</v>
      </c>
      <c r="E30" s="19" t="n">
        <f aca="false">E29+IFERROR(B30,0)</f>
        <v>1632.6</v>
      </c>
      <c r="G30" s="38" t="s">
        <v>91</v>
      </c>
      <c r="H30" s="38"/>
      <c r="I30" s="38"/>
    </row>
    <row r="31" customFormat="false" ht="15" hidden="false" customHeight="false" outlineLevel="0" collapsed="false">
      <c r="A31" s="49" t="n">
        <v>45976</v>
      </c>
      <c r="B31" s="25" t="n">
        <v>15.22</v>
      </c>
      <c r="C31" s="6" t="s">
        <v>196</v>
      </c>
      <c r="D31" s="26" t="s">
        <v>61</v>
      </c>
      <c r="E31" s="25" t="n">
        <f aca="false">E30+IFERROR(B31,0)</f>
        <v>1647.82</v>
      </c>
      <c r="G31" s="43" t="s">
        <v>26</v>
      </c>
      <c r="H31" s="45" t="n">
        <f aca="false">'2025년 10월'!H31-'2025년 10월'!H5</f>
        <v>12299.69</v>
      </c>
      <c r="I31" s="23" t="s">
        <v>83</v>
      </c>
    </row>
    <row r="32" customFormat="false" ht="15" hidden="false" customHeight="false" outlineLevel="0" collapsed="false">
      <c r="A32" s="18" t="n">
        <v>45977</v>
      </c>
      <c r="B32" s="19" t="n">
        <v>9.15</v>
      </c>
      <c r="C32" s="13" t="s">
        <v>169</v>
      </c>
      <c r="D32" s="20" t="s">
        <v>61</v>
      </c>
      <c r="E32" s="19" t="n">
        <f aca="false">E31+IFERROR(B32,0)</f>
        <v>1656.97</v>
      </c>
      <c r="G32" s="32" t="s">
        <v>27</v>
      </c>
      <c r="H32" s="33" t="n">
        <f aca="false">AVERAGE('2025년 9월'!H5,'2025년 10월'!H5,H5)</f>
        <v>1820.16333333333</v>
      </c>
      <c r="I32" s="41"/>
    </row>
    <row r="33" customFormat="false" ht="15" hidden="false" customHeight="false" outlineLevel="0" collapsed="false">
      <c r="A33" s="26"/>
      <c r="B33" s="25" t="n">
        <v>15</v>
      </c>
      <c r="C33" s="12" t="s">
        <v>197</v>
      </c>
      <c r="D33" s="26" t="s">
        <v>36</v>
      </c>
      <c r="E33" s="25" t="n">
        <f aca="false">E32+IFERROR(B33,0)</f>
        <v>1671.97</v>
      </c>
      <c r="G33" s="46" t="s">
        <v>95</v>
      </c>
      <c r="H33" s="47" t="n">
        <f aca="false">IFERROR(H31/H32,"")</f>
        <v>6.75746498940571</v>
      </c>
      <c r="I33" s="46" t="s">
        <v>96</v>
      </c>
    </row>
    <row r="34" customFormat="false" ht="15" hidden="false" customHeight="false" outlineLevel="0" collapsed="false">
      <c r="A34" s="18" t="n">
        <v>45978</v>
      </c>
      <c r="B34" s="19" t="n">
        <v>11.84</v>
      </c>
      <c r="C34" s="13" t="s">
        <v>198</v>
      </c>
      <c r="D34" s="20" t="s">
        <v>61</v>
      </c>
      <c r="E34" s="19" t="n">
        <f aca="false">E33+IFERROR(B34,0)</f>
        <v>1683.81</v>
      </c>
      <c r="G34" s="32" t="s">
        <v>98</v>
      </c>
      <c r="H34" s="48" t="n">
        <f aca="true">IFERROR(TODAY()+H33*30,"")</f>
        <v>46284.7239496822</v>
      </c>
      <c r="I34" s="41"/>
    </row>
    <row r="35" customFormat="false" ht="15" hidden="false" customHeight="false" outlineLevel="0" collapsed="false">
      <c r="A35" s="26"/>
      <c r="B35" s="25" t="n">
        <v>8.76</v>
      </c>
      <c r="C35" s="6" t="s">
        <v>128</v>
      </c>
      <c r="D35" s="26" t="s">
        <v>40</v>
      </c>
      <c r="E35" s="25" t="n">
        <f aca="false">E34+IFERROR(B35,0)</f>
        <v>1692.57</v>
      </c>
    </row>
    <row r="36" customFormat="false" ht="15" hidden="false" customHeight="false" outlineLevel="0" collapsed="false">
      <c r="A36" s="20"/>
      <c r="B36" s="19" t="n">
        <v>26.1</v>
      </c>
      <c r="C36" s="8" t="s">
        <v>199</v>
      </c>
      <c r="D36" s="20" t="s">
        <v>46</v>
      </c>
      <c r="E36" s="19" t="n">
        <f aca="false">E35+IFERROR(B36,0)</f>
        <v>1718.67</v>
      </c>
    </row>
    <row r="37" customFormat="false" ht="15" hidden="false" customHeight="false" outlineLevel="0" collapsed="false">
      <c r="A37" s="26"/>
      <c r="B37" s="25" t="n">
        <v>51.93</v>
      </c>
      <c r="C37" s="6" t="s">
        <v>200</v>
      </c>
      <c r="D37" s="26" t="s">
        <v>36</v>
      </c>
      <c r="E37" s="25" t="n">
        <f aca="false">E36+IFERROR(B37,0)</f>
        <v>1770.6</v>
      </c>
      <c r="G37" s="50" t="s">
        <v>32</v>
      </c>
      <c r="H37" s="50" t="s">
        <v>102</v>
      </c>
    </row>
    <row r="38" customFormat="false" ht="15" hidden="false" customHeight="false" outlineLevel="0" collapsed="false">
      <c r="A38" s="20"/>
      <c r="B38" s="19" t="n">
        <v>173.27</v>
      </c>
      <c r="C38" s="8" t="s">
        <v>201</v>
      </c>
      <c r="D38" s="20" t="s">
        <v>36</v>
      </c>
      <c r="E38" s="19" t="n">
        <f aca="false">E37+IFERROR(B38,0)</f>
        <v>1943.87</v>
      </c>
      <c r="G38" s="50" t="s">
        <v>36</v>
      </c>
      <c r="H38" s="51" t="n">
        <f aca="false">H6</f>
        <v>302.2</v>
      </c>
    </row>
    <row r="39" customFormat="false" ht="15" hidden="false" customHeight="false" outlineLevel="0" collapsed="false">
      <c r="A39" s="49" t="n">
        <v>46344</v>
      </c>
      <c r="B39" s="25" t="n">
        <v>5.25</v>
      </c>
      <c r="C39" s="6" t="s">
        <v>68</v>
      </c>
      <c r="D39" s="26" t="s">
        <v>36</v>
      </c>
      <c r="E39" s="25" t="n">
        <f aca="false">E38+IFERROR(B39,0)</f>
        <v>1949.12</v>
      </c>
      <c r="G39" s="50" t="s">
        <v>105</v>
      </c>
      <c r="H39" s="51" t="n">
        <f aca="false">H7+H10</f>
        <v>490.68</v>
      </c>
    </row>
    <row r="40" customFormat="false" ht="15" hidden="false" customHeight="false" outlineLevel="0" collapsed="false">
      <c r="A40" s="20"/>
      <c r="B40" s="19" t="n">
        <v>12.84</v>
      </c>
      <c r="C40" s="8" t="s">
        <v>65</v>
      </c>
      <c r="D40" s="20" t="s">
        <v>40</v>
      </c>
      <c r="E40" s="19" t="n">
        <f aca="false">E39+IFERROR(B40,0)</f>
        <v>1961.96</v>
      </c>
      <c r="G40" s="50" t="s">
        <v>46</v>
      </c>
      <c r="H40" s="51" t="n">
        <f aca="false">H8</f>
        <v>88.74</v>
      </c>
    </row>
    <row r="41" customFormat="false" ht="15" hidden="false" customHeight="false" outlineLevel="0" collapsed="false">
      <c r="A41" s="26"/>
      <c r="B41" s="25" t="n">
        <v>80</v>
      </c>
      <c r="C41" s="6" t="s">
        <v>202</v>
      </c>
      <c r="D41" s="26" t="s">
        <v>36</v>
      </c>
      <c r="E41" s="25" t="n">
        <f aca="false">E40+IFERROR(B41,0)</f>
        <v>2041.96</v>
      </c>
      <c r="G41" s="50" t="s">
        <v>54</v>
      </c>
      <c r="H41" s="51" t="n">
        <f aca="false">H9</f>
        <v>384.81</v>
      </c>
    </row>
    <row r="42" customFormat="false" ht="15" hidden="false" customHeight="false" outlineLevel="0" collapsed="false">
      <c r="A42" s="20"/>
      <c r="B42" s="19" t="n">
        <v>20</v>
      </c>
      <c r="C42" s="8" t="s">
        <v>203</v>
      </c>
      <c r="D42" s="20" t="s">
        <v>46</v>
      </c>
      <c r="E42" s="19" t="n">
        <f aca="false">E41+IFERROR(B42,0)</f>
        <v>2061.96</v>
      </c>
      <c r="G42" s="50" t="s">
        <v>74</v>
      </c>
      <c r="H42" s="51" t="n">
        <f aca="false">H12</f>
        <v>204.94</v>
      </c>
    </row>
    <row r="43" customFormat="false" ht="15" hidden="false" customHeight="false" outlineLevel="0" collapsed="false">
      <c r="A43" s="26"/>
      <c r="B43" s="25" t="n">
        <v>31.28</v>
      </c>
      <c r="C43" s="6" t="s">
        <v>204</v>
      </c>
      <c r="D43" s="26" t="s">
        <v>61</v>
      </c>
      <c r="E43" s="25" t="n">
        <f aca="false">E42+IFERROR(B43,0)</f>
        <v>2093.24</v>
      </c>
      <c r="G43" s="50" t="s">
        <v>177</v>
      </c>
      <c r="H43" s="51" t="n">
        <f aca="false">H13</f>
        <v>972.61</v>
      </c>
    </row>
    <row r="44" customFormat="false" ht="15" hidden="false" customHeight="false" outlineLevel="0" collapsed="false">
      <c r="A44" s="18" t="n">
        <v>46346</v>
      </c>
      <c r="B44" s="19" t="n">
        <v>7.91</v>
      </c>
      <c r="C44" s="8" t="s">
        <v>205</v>
      </c>
      <c r="D44" s="20" t="s">
        <v>46</v>
      </c>
      <c r="E44" s="19" t="n">
        <f aca="false">E43+IFERROR(B44,0)</f>
        <v>2101.15</v>
      </c>
      <c r="G44" s="50" t="s">
        <v>109</v>
      </c>
      <c r="H44" s="51" t="n">
        <f aca="false">H15</f>
        <v>16.1999999999998</v>
      </c>
    </row>
    <row r="45" customFormat="false" ht="15" hidden="false" customHeight="false" outlineLevel="0" collapsed="false">
      <c r="A45" s="26"/>
      <c r="B45" s="25" t="n">
        <v>13.77</v>
      </c>
      <c r="C45" s="6" t="s">
        <v>201</v>
      </c>
      <c r="D45" s="26" t="s">
        <v>36</v>
      </c>
      <c r="E45" s="25" t="n">
        <f aca="false">E44+IFERROR(B45,0)</f>
        <v>2114.92</v>
      </c>
    </row>
    <row r="46" customFormat="false" ht="15" hidden="false" customHeight="false" outlineLevel="0" collapsed="false">
      <c r="A46" s="20"/>
      <c r="B46" s="19" t="n">
        <v>10.39</v>
      </c>
      <c r="C46" s="8" t="s">
        <v>206</v>
      </c>
      <c r="D46" s="20" t="s">
        <v>40</v>
      </c>
      <c r="E46" s="19" t="n">
        <f aca="false">E45+IFERROR(B46,0)</f>
        <v>2125.31</v>
      </c>
    </row>
    <row r="47" customFormat="false" ht="15" hidden="false" customHeight="false" outlineLevel="0" collapsed="false">
      <c r="A47" s="26"/>
      <c r="B47" s="25" t="n">
        <v>10</v>
      </c>
      <c r="C47" s="6" t="s">
        <v>139</v>
      </c>
      <c r="D47" s="26" t="s">
        <v>74</v>
      </c>
      <c r="E47" s="25" t="n">
        <f aca="false">E46+IFERROR(B47,0)</f>
        <v>2135.31</v>
      </c>
    </row>
    <row r="48" customFormat="false" ht="15" hidden="false" customHeight="false" outlineLevel="0" collapsed="false">
      <c r="A48" s="20"/>
      <c r="B48" s="19" t="n">
        <v>6.98</v>
      </c>
      <c r="C48" s="8" t="s">
        <v>207</v>
      </c>
      <c r="D48" s="20" t="s">
        <v>61</v>
      </c>
      <c r="E48" s="19" t="n">
        <f aca="false">E47+IFERROR(B48,0)</f>
        <v>2142.29</v>
      </c>
    </row>
    <row r="49" customFormat="false" ht="15" hidden="false" customHeight="false" outlineLevel="0" collapsed="false">
      <c r="A49" s="26"/>
      <c r="B49" s="25" t="n">
        <v>5</v>
      </c>
      <c r="C49" s="6" t="s">
        <v>68</v>
      </c>
      <c r="D49" s="26" t="s">
        <v>36</v>
      </c>
      <c r="E49" s="25" t="n">
        <f aca="false">E48+IFERROR(B49,0)</f>
        <v>2147.29</v>
      </c>
    </row>
    <row r="50" customFormat="false" ht="15" hidden="false" customHeight="false" outlineLevel="0" collapsed="false">
      <c r="A50" s="18" t="n">
        <v>46354</v>
      </c>
      <c r="B50" s="19" t="n">
        <v>6.69</v>
      </c>
      <c r="C50" s="8" t="s">
        <v>208</v>
      </c>
      <c r="D50" s="20" t="s">
        <v>61</v>
      </c>
      <c r="E50" s="19" t="n">
        <f aca="false">E49+IFERROR(B50,0)</f>
        <v>2153.98</v>
      </c>
    </row>
    <row r="51" customFormat="false" ht="15" hidden="false" customHeight="false" outlineLevel="0" collapsed="false">
      <c r="A51" s="26"/>
      <c r="B51" s="25" t="n">
        <v>21.38</v>
      </c>
      <c r="C51" s="6" t="s">
        <v>209</v>
      </c>
      <c r="D51" s="26" t="s">
        <v>54</v>
      </c>
      <c r="E51" s="25" t="n">
        <f aca="false">E50+IFERROR(B51,0)</f>
        <v>2175.36</v>
      </c>
    </row>
    <row r="52" customFormat="false" ht="15" hidden="false" customHeight="false" outlineLevel="0" collapsed="false">
      <c r="A52" s="20"/>
      <c r="B52" s="19" t="n">
        <v>10.34</v>
      </c>
      <c r="C52" s="8" t="s">
        <v>210</v>
      </c>
      <c r="D52" s="20" t="s">
        <v>61</v>
      </c>
      <c r="E52" s="19" t="n">
        <f aca="false">E51+IFERROR(B52,0)</f>
        <v>2185.7</v>
      </c>
    </row>
    <row r="53" customFormat="false" ht="15" hidden="false" customHeight="false" outlineLevel="0" collapsed="false">
      <c r="A53" s="26"/>
      <c r="B53" s="25" t="n">
        <v>16.66</v>
      </c>
      <c r="C53" s="6" t="s">
        <v>211</v>
      </c>
      <c r="D53" s="26" t="s">
        <v>54</v>
      </c>
      <c r="E53" s="25" t="n">
        <f aca="false">E52+IFERROR(B53,0)</f>
        <v>2202.36</v>
      </c>
    </row>
    <row r="54" customFormat="false" ht="15" hidden="false" customHeight="false" outlineLevel="0" collapsed="false">
      <c r="A54" s="20"/>
      <c r="B54" s="19" t="n">
        <v>12.81</v>
      </c>
      <c r="C54" s="13" t="s">
        <v>169</v>
      </c>
      <c r="D54" s="20" t="s">
        <v>61</v>
      </c>
      <c r="E54" s="19" t="n">
        <f aca="false">E53+IFERROR(B54,0)</f>
        <v>2215.17</v>
      </c>
    </row>
    <row r="55" customFormat="false" ht="15" hidden="false" customHeight="false" outlineLevel="0" collapsed="false">
      <c r="A55" s="26"/>
      <c r="B55" s="25" t="n">
        <v>22.95</v>
      </c>
      <c r="C55" s="6" t="s">
        <v>211</v>
      </c>
      <c r="D55" s="26" t="s">
        <v>54</v>
      </c>
      <c r="E55" s="25" t="n">
        <f aca="false">E54+IFERROR(B55,0)</f>
        <v>2238.12</v>
      </c>
    </row>
    <row r="56" customFormat="false" ht="15" hidden="false" customHeight="false" outlineLevel="0" collapsed="false">
      <c r="A56" s="20"/>
      <c r="B56" s="19" t="n">
        <v>29.61</v>
      </c>
      <c r="C56" s="8" t="s">
        <v>212</v>
      </c>
      <c r="D56" s="20" t="s">
        <v>61</v>
      </c>
      <c r="E56" s="19" t="n">
        <f aca="false">E55+IFERROR(B56,0)</f>
        <v>2267.73</v>
      </c>
    </row>
    <row r="57" customFormat="false" ht="15" hidden="false" customHeight="false" outlineLevel="0" collapsed="false">
      <c r="A57" s="26"/>
      <c r="B57" s="25" t="n">
        <v>16.45</v>
      </c>
      <c r="C57" s="6" t="s">
        <v>103</v>
      </c>
      <c r="D57" s="26" t="s">
        <v>74</v>
      </c>
      <c r="E57" s="25" t="n">
        <f aca="false">E56+IFERROR(B57,0)</f>
        <v>2284.18</v>
      </c>
    </row>
    <row r="58" customFormat="false" ht="15" hidden="false" customHeight="false" outlineLevel="0" collapsed="false">
      <c r="A58" s="20"/>
      <c r="B58" s="19" t="n">
        <v>176</v>
      </c>
      <c r="C58" s="8" t="s">
        <v>213</v>
      </c>
      <c r="D58" s="20" t="s">
        <v>74</v>
      </c>
      <c r="E58" s="19" t="n">
        <f aca="false">E57+IFERROR(B58,0)</f>
        <v>2460.18</v>
      </c>
    </row>
  </sheetData>
  <mergeCells count="4">
    <mergeCell ref="G1:I1"/>
    <mergeCell ref="G17:I17"/>
    <mergeCell ref="G25:I25"/>
    <mergeCell ref="G30:I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28"/>
    <col collapsed="false" customWidth="true" hidden="false" outlineLevel="0" max="5" min="4" style="0" width="12"/>
    <col collapsed="false" customWidth="true" hidden="false" outlineLevel="0" max="6" min="6" style="0" width="1.51"/>
    <col collapsed="false" customWidth="true" hidden="false" outlineLevel="0" max="7" min="7" style="0" width="24"/>
    <col collapsed="false" customWidth="true" hidden="false" outlineLevel="0" max="8" min="8" style="0" width="14"/>
    <col collapsed="false" customWidth="true" hidden="false" outlineLevel="0" max="9" min="9" style="0" width="13"/>
  </cols>
  <sheetData>
    <row r="1" customFormat="false" ht="27.75" hidden="false" customHeight="true" outlineLevel="0" collapsed="false">
      <c r="A1" s="16" t="s">
        <v>29</v>
      </c>
      <c r="B1" s="16" t="s">
        <v>30</v>
      </c>
      <c r="C1" s="16" t="s">
        <v>31</v>
      </c>
      <c r="D1" s="16" t="s">
        <v>32</v>
      </c>
      <c r="E1" s="16" t="s">
        <v>33</v>
      </c>
      <c r="G1" s="17" t="s">
        <v>214</v>
      </c>
      <c r="H1" s="17"/>
      <c r="I1" s="17"/>
    </row>
    <row r="2" customFormat="false" ht="15" hidden="false" customHeight="false" outlineLevel="0" collapsed="false">
      <c r="A2" s="18" t="n">
        <v>46357</v>
      </c>
      <c r="B2" s="19" t="n">
        <v>70.18</v>
      </c>
      <c r="C2" s="8" t="s">
        <v>215</v>
      </c>
      <c r="D2" s="20" t="s">
        <v>36</v>
      </c>
      <c r="E2" s="19" t="n">
        <f aca="false">IFERROR(B2,0)</f>
        <v>70.18</v>
      </c>
      <c r="G2" s="21" t="s">
        <v>37</v>
      </c>
      <c r="H2" s="22" t="s">
        <v>216</v>
      </c>
      <c r="I2" s="23" t="s">
        <v>38</v>
      </c>
    </row>
    <row r="3" customFormat="false" ht="15" hidden="false" customHeight="false" outlineLevel="0" collapsed="false">
      <c r="A3" s="26"/>
      <c r="B3" s="25" t="n">
        <v>9.49</v>
      </c>
      <c r="C3" s="6" t="s">
        <v>217</v>
      </c>
      <c r="D3" s="26" t="s">
        <v>40</v>
      </c>
      <c r="E3" s="25" t="n">
        <f aca="false">E2+IFERROR(B3,0)</f>
        <v>79.67</v>
      </c>
      <c r="G3" s="27"/>
      <c r="H3" s="27"/>
      <c r="I3" s="27"/>
    </row>
    <row r="4" customFormat="false" ht="15" hidden="false" customHeight="false" outlineLevel="0" collapsed="false">
      <c r="A4" s="20"/>
      <c r="B4" s="19" t="n">
        <v>88.35</v>
      </c>
      <c r="C4" s="8" t="s">
        <v>218</v>
      </c>
      <c r="D4" s="20" t="s">
        <v>74</v>
      </c>
      <c r="E4" s="19" t="n">
        <f aca="false">E3+IFERROR(B4,0)</f>
        <v>168.02</v>
      </c>
      <c r="G4" s="2" t="s">
        <v>42</v>
      </c>
      <c r="H4" s="28" t="s">
        <v>43</v>
      </c>
      <c r="I4" s="28" t="s">
        <v>44</v>
      </c>
    </row>
    <row r="5" customFormat="false" ht="15" hidden="false" customHeight="false" outlineLevel="0" collapsed="false">
      <c r="A5" s="26"/>
      <c r="B5" s="25" t="n">
        <v>39.8</v>
      </c>
      <c r="C5" s="6" t="s">
        <v>121</v>
      </c>
      <c r="D5" s="26" t="s">
        <v>40</v>
      </c>
      <c r="E5" s="25" t="n">
        <f aca="false">E4+IFERROR(B5,0)</f>
        <v>207.82</v>
      </c>
      <c r="G5" s="29" t="s">
        <v>9</v>
      </c>
      <c r="H5" s="30" t="n">
        <f aca="false">SUM(B$2:B$202)</f>
        <v>588.59</v>
      </c>
      <c r="I5" s="31" t="n">
        <f aca="true">IFERROR((H5-INDIRECT("'"&amp;$H$2&amp;"'!H5"))/INDIRECT("'"&amp;$H$2&amp;"'!H5"),"")</f>
        <v>-0.760753278215415</v>
      </c>
    </row>
    <row r="6" customFormat="false" ht="15" hidden="false" customHeight="false" outlineLevel="0" collapsed="false">
      <c r="A6" s="20"/>
      <c r="B6" s="19" t="n">
        <v>19.44</v>
      </c>
      <c r="C6" s="13" t="s">
        <v>89</v>
      </c>
      <c r="D6" s="20" t="s">
        <v>46</v>
      </c>
      <c r="E6" s="19" t="n">
        <f aca="false">E5+IFERROR(B6,0)</f>
        <v>227.26</v>
      </c>
      <c r="G6" s="32" t="s">
        <v>10</v>
      </c>
      <c r="H6" s="33" t="n">
        <f aca="false">SUMIF(D$2:D$202,"생필품",B$2:B$202)</f>
        <v>137.89</v>
      </c>
      <c r="I6" s="34" t="n">
        <f aca="true">IFERROR((H6-INDIRECT("'"&amp;$H$2&amp;"'!H6"))/INDIRECT("'"&amp;$H$2&amp;"'!H6"),"")</f>
        <v>-0.543712772998015</v>
      </c>
    </row>
    <row r="7" customFormat="false" ht="15" hidden="false" customHeight="false" outlineLevel="0" collapsed="false">
      <c r="A7" s="26"/>
      <c r="B7" s="25" t="n">
        <v>24.23</v>
      </c>
      <c r="C7" s="6" t="s">
        <v>219</v>
      </c>
      <c r="D7" s="26" t="s">
        <v>36</v>
      </c>
      <c r="E7" s="25" t="n">
        <f aca="false">E6+IFERROR(B7,0)</f>
        <v>251.49</v>
      </c>
      <c r="G7" s="35" t="s">
        <v>11</v>
      </c>
      <c r="H7" s="36" t="n">
        <f aca="false">SUMIF(D$2:D$202,"식재료",B$2:B$202)</f>
        <v>59.28</v>
      </c>
      <c r="I7" s="37" t="n">
        <f aca="true">IFERROR((H7-INDIRECT("'"&amp;$H$2&amp;"'!H7"))/INDIRECT("'"&amp;$H$2&amp;"'!H7"),"")</f>
        <v>0.379246161005119</v>
      </c>
    </row>
    <row r="8" customFormat="false" ht="15" hidden="false" customHeight="false" outlineLevel="0" collapsed="false">
      <c r="A8" s="18" t="n">
        <v>46358</v>
      </c>
      <c r="B8" s="19" t="n">
        <v>33.45</v>
      </c>
      <c r="C8" s="8" t="s">
        <v>220</v>
      </c>
      <c r="D8" s="20" t="s">
        <v>74</v>
      </c>
      <c r="E8" s="19" t="n">
        <f aca="false">E7+IFERROR(B8,0)</f>
        <v>284.94</v>
      </c>
      <c r="G8" s="32" t="s">
        <v>12</v>
      </c>
      <c r="H8" s="33" t="n">
        <f aca="false">SUMIF(D$2:D$202,"보조제",B$2:B$202)</f>
        <v>30.8</v>
      </c>
      <c r="I8" s="34" t="n">
        <f aca="true">IFERROR((H8-INDIRECT("'"&amp;$H$2&amp;"'!H8"))/INDIRECT("'"&amp;$H$2&amp;"'!H8"),"")</f>
        <v>-0.652918638719856</v>
      </c>
    </row>
    <row r="9" customFormat="false" ht="15" hidden="false" customHeight="false" outlineLevel="0" collapsed="false">
      <c r="A9" s="26"/>
      <c r="B9" s="25" t="n">
        <v>13.79</v>
      </c>
      <c r="C9" s="6" t="s">
        <v>186</v>
      </c>
      <c r="D9" s="26" t="s">
        <v>61</v>
      </c>
      <c r="E9" s="25" t="n">
        <f aca="false">E8+IFERROR(B9,0)</f>
        <v>298.73</v>
      </c>
      <c r="G9" s="35" t="s">
        <v>13</v>
      </c>
      <c r="H9" s="36" t="n">
        <f aca="false">SUMIF(D$2:D$202,"교통비",B$2:B$202)</f>
        <v>52.22</v>
      </c>
      <c r="I9" s="37" t="n">
        <f aca="true">IFERROR((H9-INDIRECT("'"&amp;$H$2&amp;"'!H9"))/INDIRECT("'"&amp;$H$2&amp;"'!H9"),"")</f>
        <v>-0.864296665887061</v>
      </c>
    </row>
    <row r="10" customFormat="false" ht="15" hidden="false" customHeight="false" outlineLevel="0" collapsed="false">
      <c r="A10" s="18" t="n">
        <v>46360</v>
      </c>
      <c r="B10" s="19" t="n">
        <v>15.94</v>
      </c>
      <c r="C10" s="8" t="s">
        <v>221</v>
      </c>
      <c r="D10" s="20" t="s">
        <v>61</v>
      </c>
      <c r="E10" s="19" t="n">
        <f aca="false">E9+IFERROR(B10,0)</f>
        <v>314.67</v>
      </c>
      <c r="G10" s="32" t="s">
        <v>14</v>
      </c>
      <c r="H10" s="33" t="n">
        <f aca="false">SUMIF(D$2:D$202,"외식",B$2:B$202)</f>
        <v>134.3</v>
      </c>
      <c r="I10" s="34" t="n">
        <f aca="true">IFERROR((H10-INDIRECT("'"&amp;$H$2&amp;"'!H10"))/INDIRECT("'"&amp;$H$2&amp;"'!H10"),"")</f>
        <v>-0.700022336385973</v>
      </c>
    </row>
    <row r="11" customFormat="false" ht="15" hidden="false" customHeight="false" outlineLevel="0" collapsed="false">
      <c r="A11" s="26"/>
      <c r="B11" s="25" t="n">
        <v>9.99</v>
      </c>
      <c r="C11" s="12" t="s">
        <v>222</v>
      </c>
      <c r="D11" s="26" t="s">
        <v>40</v>
      </c>
      <c r="E11" s="25" t="n">
        <f aca="false">E10+IFERROR(B11,0)</f>
        <v>324.66</v>
      </c>
      <c r="G11" s="35" t="s">
        <v>15</v>
      </c>
      <c r="H11" s="36" t="n">
        <f aca="false">SUMIF(D$2:D$202,"사치 음식",B$2:B$202)</f>
        <v>0</v>
      </c>
      <c r="I11" s="37" t="str">
        <f aca="true">IFERROR((H11-INDIRECT("'"&amp;$H$2&amp;"'!H11"))/INDIRECT("'"&amp;$H$2&amp;"'!H11"),"")</f>
        <v/>
      </c>
    </row>
    <row r="12" customFormat="false" ht="15" hidden="false" customHeight="false" outlineLevel="0" collapsed="false">
      <c r="A12" s="18" t="n">
        <v>46363</v>
      </c>
      <c r="B12" s="19" t="n">
        <v>5</v>
      </c>
      <c r="C12" s="8" t="s">
        <v>68</v>
      </c>
      <c r="D12" s="20" t="s">
        <v>36</v>
      </c>
      <c r="E12" s="19" t="n">
        <f aca="false">E11+IFERROR(B12,0)</f>
        <v>329.66</v>
      </c>
      <c r="G12" s="32" t="s">
        <v>16</v>
      </c>
      <c r="H12" s="33" t="n">
        <f aca="false">SUMIF(D$2:D$202,"사치품",B$2:B$202)</f>
        <v>152.9</v>
      </c>
      <c r="I12" s="34" t="n">
        <f aca="true">IFERROR((H12-INDIRECT("'"&amp;$H$2&amp;"'!H12"))/INDIRECT("'"&amp;$H$2&amp;"'!H12"),"")</f>
        <v>-0.25392797892066</v>
      </c>
    </row>
    <row r="13" customFormat="false" ht="15" hidden="false" customHeight="false" outlineLevel="0" collapsed="false">
      <c r="A13" s="49" t="n">
        <v>46364</v>
      </c>
      <c r="B13" s="25" t="n">
        <v>12.75</v>
      </c>
      <c r="C13" s="6" t="s">
        <v>223</v>
      </c>
      <c r="D13" s="26" t="s">
        <v>61</v>
      </c>
      <c r="E13" s="25" t="n">
        <f aca="false">E12+IFERROR(B13,0)</f>
        <v>342.41</v>
      </c>
      <c r="G13" s="35" t="s">
        <v>17</v>
      </c>
      <c r="H13" s="36" t="n">
        <f aca="false">SUMIF(D$2:D$202,"여행",B$2:B$202)</f>
        <v>0</v>
      </c>
      <c r="I13" s="37" t="n">
        <f aca="true">IFERROR((H13-INDIRECT("'"&amp;$H$2&amp;"'!H13"))/INDIRECT("'"&amp;$H$2&amp;"'!H13"),"")</f>
        <v>-1</v>
      </c>
    </row>
    <row r="14" customFormat="false" ht="15" hidden="false" customHeight="false" outlineLevel="0" collapsed="false">
      <c r="A14" s="20"/>
      <c r="B14" s="19" t="n">
        <v>7.53</v>
      </c>
      <c r="C14" s="8" t="s">
        <v>175</v>
      </c>
      <c r="D14" s="20" t="s">
        <v>61</v>
      </c>
      <c r="E14" s="19" t="n">
        <f aca="false">E13+IFERROR(B14,0)</f>
        <v>349.94</v>
      </c>
      <c r="G14" s="32" t="s">
        <v>18</v>
      </c>
      <c r="H14" s="33" t="n">
        <f aca="false">SUMIF(D$2:D$202,"자기개발비",B$2:B$202)</f>
        <v>21.2</v>
      </c>
      <c r="I14" s="34" t="str">
        <f aca="true">IFERROR((H14-INDIRECT("'"&amp;$H$2&amp;"'!H14"))/INDIRECT("'"&amp;$H$2&amp;"'!H14"),"")</f>
        <v/>
      </c>
    </row>
    <row r="15" customFormat="false" ht="15" hidden="false" customHeight="false" outlineLevel="0" collapsed="false">
      <c r="A15" s="26"/>
      <c r="B15" s="25" t="n">
        <v>14.32</v>
      </c>
      <c r="C15" s="6" t="s">
        <v>211</v>
      </c>
      <c r="D15" s="26" t="s">
        <v>54</v>
      </c>
      <c r="E15" s="25" t="n">
        <f aca="false">E14+IFERROR(B15,0)</f>
        <v>364.26</v>
      </c>
      <c r="G15" s="35" t="s">
        <v>19</v>
      </c>
      <c r="H15" s="36" t="n">
        <f aca="false">H5-SUM(H6:H14)</f>
        <v>0</v>
      </c>
      <c r="I15" s="37" t="n">
        <f aca="true">IFERROR((H15-INDIRECT("'"&amp;$H$2&amp;"'!H15"))/INDIRECT("'"&amp;$H$2&amp;"'!H15"),"")</f>
        <v>-1</v>
      </c>
    </row>
    <row r="16" customFormat="false" ht="15" hidden="false" customHeight="false" outlineLevel="0" collapsed="false">
      <c r="A16" s="20"/>
      <c r="B16" s="19" t="n">
        <v>26.17</v>
      </c>
      <c r="C16" s="8" t="s">
        <v>224</v>
      </c>
      <c r="D16" s="20" t="s">
        <v>61</v>
      </c>
      <c r="E16" s="19" t="n">
        <f aca="false">E15+IFERROR(B16,0)</f>
        <v>390.43</v>
      </c>
      <c r="G16" s="27"/>
      <c r="H16" s="27"/>
      <c r="I16" s="27"/>
    </row>
    <row r="17" customFormat="false" ht="15" hidden="false" customHeight="false" outlineLevel="0" collapsed="false">
      <c r="A17" s="49" t="n">
        <v>46365</v>
      </c>
      <c r="B17" s="25" t="n">
        <v>18.96</v>
      </c>
      <c r="C17" s="6" t="s">
        <v>211</v>
      </c>
      <c r="D17" s="26" t="s">
        <v>54</v>
      </c>
      <c r="E17" s="25" t="n">
        <f aca="false">E16+IFERROR(B17,0)</f>
        <v>409.39</v>
      </c>
      <c r="G17" s="38" t="s">
        <v>62</v>
      </c>
      <c r="H17" s="38"/>
      <c r="I17" s="38"/>
    </row>
    <row r="18" customFormat="false" ht="15" hidden="false" customHeight="false" outlineLevel="0" collapsed="false">
      <c r="A18" s="20"/>
      <c r="B18" s="19" t="n">
        <v>11.36</v>
      </c>
      <c r="C18" s="8" t="s">
        <v>199</v>
      </c>
      <c r="D18" s="20" t="s">
        <v>46</v>
      </c>
      <c r="E18" s="19" t="n">
        <f aca="false">E17+IFERROR(B18,0)</f>
        <v>420.75</v>
      </c>
      <c r="G18" s="32" t="s">
        <v>21</v>
      </c>
      <c r="H18" s="33" t="n">
        <f aca="false">H7+H10+H11</f>
        <v>193.58</v>
      </c>
      <c r="I18" s="41"/>
    </row>
    <row r="19" customFormat="false" ht="15" hidden="false" customHeight="false" outlineLevel="0" collapsed="false">
      <c r="A19" s="26"/>
      <c r="B19" s="25" t="n">
        <v>12.99</v>
      </c>
      <c r="C19" s="6" t="s">
        <v>225</v>
      </c>
      <c r="D19" s="26" t="s">
        <v>36</v>
      </c>
      <c r="E19" s="25" t="n">
        <f aca="false">E18+IFERROR(B19,0)</f>
        <v>433.74</v>
      </c>
      <c r="G19" s="39" t="s">
        <v>66</v>
      </c>
      <c r="H19" s="36" t="n">
        <f aca="false">IFERROR(H18/H23,"")</f>
        <v>17.5981818181818</v>
      </c>
      <c r="I19" s="40" t="s">
        <v>67</v>
      </c>
    </row>
    <row r="20" customFormat="false" ht="15" hidden="false" customHeight="false" outlineLevel="0" collapsed="false">
      <c r="A20" s="18" t="n">
        <v>46366</v>
      </c>
      <c r="B20" s="19" t="n">
        <v>20.78</v>
      </c>
      <c r="C20" s="8" t="s">
        <v>226</v>
      </c>
      <c r="D20" s="20" t="s">
        <v>61</v>
      </c>
      <c r="E20" s="19" t="n">
        <f aca="false">E19+IFERROR(B20,0)</f>
        <v>454.52</v>
      </c>
      <c r="G20" s="41" t="s">
        <v>69</v>
      </c>
      <c r="H20" s="33" t="n">
        <f aca="false">IFERROR(H19/2.5,"")</f>
        <v>7.03927272727273</v>
      </c>
      <c r="I20" s="41"/>
    </row>
    <row r="21" customFormat="false" ht="15" hidden="false" customHeight="false" outlineLevel="0" collapsed="false">
      <c r="A21" s="49" t="n">
        <v>46367</v>
      </c>
      <c r="B21" s="25" t="n">
        <v>17.05</v>
      </c>
      <c r="C21" s="6" t="s">
        <v>227</v>
      </c>
      <c r="D21" s="26" t="s">
        <v>61</v>
      </c>
      <c r="E21" s="25" t="n">
        <f aca="false">E20+IFERROR(B21,0)</f>
        <v>471.57</v>
      </c>
      <c r="G21" s="35" t="s">
        <v>71</v>
      </c>
      <c r="H21" s="42" t="n">
        <f aca="false">IFERROR(H10/H7,"")</f>
        <v>2.26551956815115</v>
      </c>
      <c r="I21" s="40" t="s">
        <v>72</v>
      </c>
    </row>
    <row r="22" customFormat="false" ht="15" hidden="false" customHeight="false" outlineLevel="0" collapsed="false">
      <c r="A22" s="20"/>
      <c r="B22" s="19" t="n">
        <v>18.94</v>
      </c>
      <c r="C22" s="8" t="s">
        <v>211</v>
      </c>
      <c r="D22" s="20" t="s">
        <v>54</v>
      </c>
      <c r="E22" s="19" t="n">
        <f aca="false">E21+IFERROR(B22,0)</f>
        <v>490.51</v>
      </c>
      <c r="G22" s="27"/>
      <c r="H22" s="27"/>
      <c r="I22" s="27"/>
    </row>
    <row r="23" customFormat="false" ht="15" hidden="false" customHeight="false" outlineLevel="0" collapsed="false">
      <c r="A23" s="26"/>
      <c r="B23" s="25" t="n">
        <v>16.1</v>
      </c>
      <c r="C23" s="6" t="s">
        <v>228</v>
      </c>
      <c r="D23" s="26" t="s">
        <v>74</v>
      </c>
      <c r="E23" s="25" t="n">
        <f aca="false">E22+IFERROR(B23,0)</f>
        <v>506.61</v>
      </c>
      <c r="G23" s="43" t="s">
        <v>76</v>
      </c>
      <c r="H23" s="44" t="n">
        <v>11</v>
      </c>
      <c r="I23" s="23" t="s">
        <v>77</v>
      </c>
    </row>
    <row r="24" customFormat="false" ht="15" hidden="false" customHeight="false" outlineLevel="0" collapsed="false">
      <c r="A24" s="18" t="n">
        <v>46383</v>
      </c>
      <c r="B24" s="19" t="n">
        <v>25.49</v>
      </c>
      <c r="C24" s="8" t="s">
        <v>229</v>
      </c>
      <c r="D24" s="20" t="s">
        <v>36</v>
      </c>
      <c r="E24" s="19" t="n">
        <f aca="false">E23+IFERROR(B24,0)</f>
        <v>532.1</v>
      </c>
      <c r="G24" s="27"/>
      <c r="H24" s="27"/>
      <c r="I24" s="27"/>
    </row>
    <row r="25" customFormat="false" ht="15" hidden="false" customHeight="false" outlineLevel="0" collapsed="false">
      <c r="A25" s="26"/>
      <c r="B25" s="25" t="n">
        <v>9.99</v>
      </c>
      <c r="C25" s="12" t="s">
        <v>222</v>
      </c>
      <c r="D25" s="26" t="s">
        <v>61</v>
      </c>
      <c r="E25" s="25" t="n">
        <f aca="false">E24+IFERROR(B25,0)</f>
        <v>542.09</v>
      </c>
      <c r="G25" s="38" t="s">
        <v>80</v>
      </c>
      <c r="H25" s="38"/>
      <c r="I25" s="38"/>
    </row>
    <row r="26" customFormat="false" ht="15" hidden="false" customHeight="false" outlineLevel="0" collapsed="false">
      <c r="A26" s="18" t="n">
        <v>46384</v>
      </c>
      <c r="B26" s="19" t="n">
        <v>15</v>
      </c>
      <c r="C26" s="8" t="s">
        <v>230</v>
      </c>
      <c r="D26" s="20" t="s">
        <v>74</v>
      </c>
      <c r="E26" s="19" t="n">
        <f aca="false">E25+IFERROR(B26,0)</f>
        <v>557.09</v>
      </c>
      <c r="G26" s="43" t="s">
        <v>82</v>
      </c>
      <c r="H26" s="45" t="n">
        <v>15</v>
      </c>
      <c r="I26" s="23" t="s">
        <v>83</v>
      </c>
    </row>
    <row r="27" customFormat="false" ht="15" hidden="false" customHeight="false" outlineLevel="0" collapsed="false">
      <c r="A27" s="49" t="n">
        <v>46366</v>
      </c>
      <c r="B27" s="25" t="n">
        <v>10.3</v>
      </c>
      <c r="C27" s="6" t="s">
        <v>118</v>
      </c>
      <c r="D27" s="26" t="s">
        <v>61</v>
      </c>
      <c r="E27" s="25" t="n">
        <f aca="false">E26+IFERROR(B27,0)</f>
        <v>567.39</v>
      </c>
      <c r="G27" s="32" t="s">
        <v>85</v>
      </c>
      <c r="H27" s="33" t="n">
        <f aca="false">H26/2.5</f>
        <v>6</v>
      </c>
      <c r="I27" s="41"/>
    </row>
    <row r="28" customFormat="false" ht="15" hidden="false" customHeight="false" outlineLevel="0" collapsed="false">
      <c r="A28" s="18" t="n">
        <v>46373</v>
      </c>
      <c r="B28" s="19" t="n">
        <v>21.2</v>
      </c>
      <c r="C28" s="8" t="s">
        <v>231</v>
      </c>
      <c r="D28" s="20" t="s">
        <v>232</v>
      </c>
      <c r="E28" s="19" t="n">
        <f aca="false">E27+IFERROR(B28,0)</f>
        <v>588.59</v>
      </c>
      <c r="G28" s="46" t="s">
        <v>87</v>
      </c>
      <c r="H28" s="22" t="s">
        <v>88</v>
      </c>
      <c r="I28" s="23" t="s">
        <v>83</v>
      </c>
    </row>
    <row r="29" customFormat="false" ht="15" hidden="false" customHeight="false" outlineLevel="0" collapsed="false">
      <c r="G29" s="27"/>
      <c r="H29" s="27"/>
      <c r="I29" s="27"/>
    </row>
    <row r="30" customFormat="false" ht="15" hidden="false" customHeight="false" outlineLevel="0" collapsed="false">
      <c r="G30" s="38" t="s">
        <v>91</v>
      </c>
      <c r="H30" s="38"/>
      <c r="I30" s="38"/>
    </row>
    <row r="31" customFormat="false" ht="15" hidden="false" customHeight="false" outlineLevel="0" collapsed="false">
      <c r="G31" s="43" t="s">
        <v>26</v>
      </c>
      <c r="H31" s="45" t="n">
        <f aca="false">'2025년 11월'!H31-'2025년 11월'!H5</f>
        <v>9839.51</v>
      </c>
      <c r="I31" s="23" t="s">
        <v>83</v>
      </c>
    </row>
    <row r="32" customFormat="false" ht="15" hidden="false" customHeight="false" outlineLevel="0" collapsed="false">
      <c r="G32" s="32" t="s">
        <v>27</v>
      </c>
      <c r="H32" s="33" t="n">
        <f aca="false">AVERAGE('2025년 9월'!H5,'2025년 10월'!H5,'2025년 11월'!H5,H5)</f>
        <v>1512.27</v>
      </c>
      <c r="I32" s="41"/>
    </row>
    <row r="33" customFormat="false" ht="15" hidden="false" customHeight="false" outlineLevel="0" collapsed="false">
      <c r="G33" s="46" t="s">
        <v>95</v>
      </c>
      <c r="H33" s="47" t="n">
        <f aca="false">IFERROR(H31/H32,"")</f>
        <v>6.50645056768963</v>
      </c>
      <c r="I33" s="46" t="s">
        <v>96</v>
      </c>
    </row>
    <row r="34" customFormat="false" ht="15" hidden="false" customHeight="false" outlineLevel="0" collapsed="false">
      <c r="G34" s="32" t="s">
        <v>98</v>
      </c>
      <c r="H34" s="48" t="n">
        <f aca="true">IFERROR(TODAY()+H33*30,"")</f>
        <v>46277.1935170307</v>
      </c>
      <c r="I34" s="41"/>
    </row>
    <row r="37" customFormat="false" ht="15" hidden="false" customHeight="false" outlineLevel="0" collapsed="false">
      <c r="G37" s="50" t="s">
        <v>32</v>
      </c>
      <c r="H37" s="50" t="s">
        <v>102</v>
      </c>
    </row>
    <row r="38" customFormat="false" ht="15" hidden="false" customHeight="false" outlineLevel="0" collapsed="false">
      <c r="G38" s="50" t="s">
        <v>36</v>
      </c>
      <c r="H38" s="51" t="n">
        <f aca="false">H6</f>
        <v>137.89</v>
      </c>
    </row>
    <row r="39" customFormat="false" ht="15" hidden="false" customHeight="false" outlineLevel="0" collapsed="false">
      <c r="G39" s="50" t="s">
        <v>105</v>
      </c>
      <c r="H39" s="51" t="n">
        <f aca="false">H7+H10</f>
        <v>193.58</v>
      </c>
    </row>
    <row r="40" customFormat="false" ht="15" hidden="false" customHeight="false" outlineLevel="0" collapsed="false">
      <c r="G40" s="50" t="s">
        <v>46</v>
      </c>
      <c r="H40" s="51" t="n">
        <f aca="false">H8</f>
        <v>30.8</v>
      </c>
    </row>
    <row r="41" customFormat="false" ht="15" hidden="false" customHeight="false" outlineLevel="0" collapsed="false">
      <c r="G41" s="50" t="s">
        <v>54</v>
      </c>
      <c r="H41" s="51" t="n">
        <f aca="false">H9</f>
        <v>52.22</v>
      </c>
    </row>
    <row r="42" customFormat="false" ht="15" hidden="false" customHeight="false" outlineLevel="0" collapsed="false">
      <c r="G42" s="50" t="s">
        <v>74</v>
      </c>
      <c r="H42" s="51" t="n">
        <f aca="false">H12</f>
        <v>152.9</v>
      </c>
    </row>
    <row r="43" customFormat="false" ht="15" hidden="false" customHeight="false" outlineLevel="0" collapsed="false">
      <c r="G43" s="50" t="s">
        <v>232</v>
      </c>
      <c r="H43" s="51" t="n">
        <f aca="false">H14</f>
        <v>21.2</v>
      </c>
    </row>
  </sheetData>
  <mergeCells count="4">
    <mergeCell ref="G1:I1"/>
    <mergeCell ref="G17:I17"/>
    <mergeCell ref="G25:I25"/>
    <mergeCell ref="G30:I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28"/>
    <col collapsed="false" customWidth="true" hidden="false" outlineLevel="0" max="5" min="4" style="0" width="12"/>
    <col collapsed="false" customWidth="true" hidden="false" outlineLevel="0" max="6" min="6" style="0" width="1.51"/>
    <col collapsed="false" customWidth="true" hidden="false" outlineLevel="0" max="7" min="7" style="0" width="24"/>
    <col collapsed="false" customWidth="true" hidden="false" outlineLevel="0" max="8" min="8" style="0" width="14"/>
    <col collapsed="false" customWidth="true" hidden="false" outlineLevel="0" max="9" min="9" style="0" width="13"/>
  </cols>
  <sheetData>
    <row r="1" customFormat="false" ht="27.75" hidden="false" customHeight="true" outlineLevel="0" collapsed="false">
      <c r="A1" s="16" t="s">
        <v>29</v>
      </c>
      <c r="B1" s="16" t="s">
        <v>30</v>
      </c>
      <c r="C1" s="16" t="s">
        <v>31</v>
      </c>
      <c r="D1" s="16" t="s">
        <v>32</v>
      </c>
      <c r="E1" s="16" t="s">
        <v>33</v>
      </c>
      <c r="G1" s="17" t="s">
        <v>233</v>
      </c>
      <c r="H1" s="17"/>
      <c r="I1" s="17"/>
    </row>
    <row r="2" customFormat="false" ht="15" hidden="false" customHeight="false" outlineLevel="0" collapsed="false">
      <c r="A2" s="18" t="n">
        <v>46023</v>
      </c>
      <c r="B2" s="19" t="n">
        <v>68.35</v>
      </c>
      <c r="C2" s="13" t="s">
        <v>234</v>
      </c>
      <c r="D2" s="20" t="s">
        <v>61</v>
      </c>
      <c r="E2" s="19" t="n">
        <f aca="false">IFERROR(B2,0)</f>
        <v>68.35</v>
      </c>
      <c r="G2" s="21" t="s">
        <v>37</v>
      </c>
      <c r="H2" s="22" t="s">
        <v>235</v>
      </c>
      <c r="I2" s="23" t="s">
        <v>38</v>
      </c>
    </row>
    <row r="3" customFormat="false" ht="15" hidden="false" customHeight="false" outlineLevel="0" collapsed="false">
      <c r="A3" s="49" t="n">
        <v>46024</v>
      </c>
      <c r="B3" s="25" t="n">
        <v>8.06</v>
      </c>
      <c r="C3" s="6" t="s">
        <v>118</v>
      </c>
      <c r="D3" s="26" t="s">
        <v>61</v>
      </c>
      <c r="E3" s="25" t="n">
        <f aca="false">E2+IFERROR(B3,0)</f>
        <v>76.41</v>
      </c>
      <c r="G3" s="27"/>
      <c r="H3" s="27"/>
      <c r="I3" s="27"/>
    </row>
    <row r="4" customFormat="false" ht="15" hidden="false" customHeight="false" outlineLevel="0" collapsed="false">
      <c r="A4" s="20"/>
      <c r="B4" s="19" t="n">
        <v>10.5</v>
      </c>
      <c r="C4" s="8" t="s">
        <v>163</v>
      </c>
      <c r="D4" s="20" t="s">
        <v>74</v>
      </c>
      <c r="E4" s="19" t="n">
        <f aca="false">E3+IFERROR(B4,0)</f>
        <v>86.91</v>
      </c>
      <c r="G4" s="2" t="s">
        <v>42</v>
      </c>
      <c r="H4" s="28" t="s">
        <v>43</v>
      </c>
      <c r="I4" s="28" t="s">
        <v>44</v>
      </c>
    </row>
    <row r="5" customFormat="false" ht="15" hidden="false" customHeight="false" outlineLevel="0" collapsed="false">
      <c r="A5" s="26"/>
      <c r="B5" s="25" t="n">
        <v>12.9</v>
      </c>
      <c r="C5" s="6" t="s">
        <v>236</v>
      </c>
      <c r="D5" s="26" t="s">
        <v>61</v>
      </c>
      <c r="E5" s="25" t="n">
        <f aca="false">E4+IFERROR(B5,0)</f>
        <v>99.81</v>
      </c>
      <c r="G5" s="29" t="s">
        <v>9</v>
      </c>
      <c r="H5" s="30" t="n">
        <f aca="false">SUM(B$2:B$202)</f>
        <v>3034.7373</v>
      </c>
      <c r="I5" s="31" t="n">
        <f aca="true">IFERROR((H5-INDIRECT("'"&amp;$H$2&amp;"'!H5"))/INDIRECT("'"&amp;$H$2&amp;"'!H5"),"")</f>
        <v>4.15594437554155</v>
      </c>
    </row>
    <row r="6" customFormat="false" ht="15" hidden="false" customHeight="false" outlineLevel="0" collapsed="false">
      <c r="A6" s="20"/>
      <c r="B6" s="19" t="n">
        <v>37.09</v>
      </c>
      <c r="C6" s="8" t="s">
        <v>237</v>
      </c>
      <c r="D6" s="20" t="s">
        <v>61</v>
      </c>
      <c r="E6" s="19" t="n">
        <f aca="false">E5+IFERROR(B6,0)</f>
        <v>136.9</v>
      </c>
      <c r="G6" s="32" t="s">
        <v>10</v>
      </c>
      <c r="H6" s="33" t="n">
        <f aca="false">SUMIF(D$2:D$202,"생필품",B$2:B$202)</f>
        <v>71.48</v>
      </c>
      <c r="I6" s="34" t="n">
        <f aca="true">IFERROR((H6-INDIRECT("'"&amp;$H$2&amp;"'!H6"))/INDIRECT("'"&amp;$H$2&amp;"'!H6"),"")</f>
        <v>-0.481615780694757</v>
      </c>
    </row>
    <row r="7" customFormat="false" ht="15" hidden="false" customHeight="false" outlineLevel="0" collapsed="false">
      <c r="A7" s="49" t="n">
        <v>46026</v>
      </c>
      <c r="B7" s="25" t="n">
        <v>83.81</v>
      </c>
      <c r="C7" s="6" t="s">
        <v>238</v>
      </c>
      <c r="D7" s="26" t="s">
        <v>74</v>
      </c>
      <c r="E7" s="25" t="n">
        <f aca="false">E6+IFERROR(B7,0)</f>
        <v>220.71</v>
      </c>
      <c r="G7" s="35" t="s">
        <v>11</v>
      </c>
      <c r="H7" s="36" t="n">
        <f aca="false">SUMIF(D$2:D$202,"식재료",B$2:B$202)</f>
        <v>171.91</v>
      </c>
      <c r="I7" s="37" t="n">
        <f aca="true">IFERROR((H7-INDIRECT("'"&amp;$H$2&amp;"'!H7"))/INDIRECT("'"&amp;$H$2&amp;"'!H7"),"")</f>
        <v>1.89996626180837</v>
      </c>
    </row>
    <row r="8" customFormat="false" ht="15" hidden="false" customHeight="false" outlineLevel="0" collapsed="false">
      <c r="A8" s="20"/>
      <c r="B8" s="19" t="n">
        <v>57.19</v>
      </c>
      <c r="C8" s="8" t="s">
        <v>239</v>
      </c>
      <c r="D8" s="20" t="s">
        <v>61</v>
      </c>
      <c r="E8" s="19" t="n">
        <f aca="false">E7+IFERROR(B8,0)</f>
        <v>277.9</v>
      </c>
      <c r="G8" s="32" t="s">
        <v>12</v>
      </c>
      <c r="H8" s="33" t="n">
        <f aca="false">SUMIF(D$2:D$202,"보조제",B$2:B$202)</f>
        <v>25.5</v>
      </c>
      <c r="I8" s="34" t="n">
        <f aca="true">IFERROR((H8-INDIRECT("'"&amp;$H$2&amp;"'!H8"))/INDIRECT("'"&amp;$H$2&amp;"'!H8"),"")</f>
        <v>-0.172077922077922</v>
      </c>
    </row>
    <row r="9" customFormat="false" ht="15" hidden="false" customHeight="false" outlineLevel="0" collapsed="false">
      <c r="A9" s="26"/>
      <c r="B9" s="25" t="n">
        <v>41.1</v>
      </c>
      <c r="C9" s="12" t="s">
        <v>240</v>
      </c>
      <c r="D9" s="26" t="s">
        <v>61</v>
      </c>
      <c r="E9" s="25" t="n">
        <f aca="false">E8+IFERROR(B9,0)</f>
        <v>319</v>
      </c>
      <c r="G9" s="35" t="s">
        <v>13</v>
      </c>
      <c r="H9" s="36" t="n">
        <f aca="false">SUMIF(D$2:D$202,"교통비",B$2:B$202)</f>
        <v>6</v>
      </c>
      <c r="I9" s="37" t="n">
        <f aca="true">IFERROR((H9-INDIRECT("'"&amp;$H$2&amp;"'!H9"))/INDIRECT("'"&amp;$H$2&amp;"'!H9"),"")</f>
        <v>-0.885101493680582</v>
      </c>
    </row>
    <row r="10" customFormat="false" ht="15" hidden="false" customHeight="false" outlineLevel="0" collapsed="false">
      <c r="A10" s="20"/>
      <c r="B10" s="19" t="n">
        <v>22.5</v>
      </c>
      <c r="C10" s="8" t="s">
        <v>241</v>
      </c>
      <c r="D10" s="20" t="s">
        <v>46</v>
      </c>
      <c r="E10" s="19" t="n">
        <f aca="false">E9+IFERROR(B10,0)</f>
        <v>341.5</v>
      </c>
      <c r="G10" s="32" t="s">
        <v>14</v>
      </c>
      <c r="H10" s="33" t="n">
        <f aca="false">SUMIF(D$2:D$202,"외식",B$2:B$202)</f>
        <v>526.6773</v>
      </c>
      <c r="I10" s="34" t="n">
        <f aca="true">IFERROR((H10-INDIRECT("'"&amp;$H$2&amp;"'!H10"))/INDIRECT("'"&amp;$H$2&amp;"'!H10"),"")</f>
        <v>2.92164780342517</v>
      </c>
    </row>
    <row r="11" customFormat="false" ht="15" hidden="false" customHeight="false" outlineLevel="0" collapsed="false">
      <c r="A11" s="26"/>
      <c r="B11" s="25" t="n">
        <v>139.99</v>
      </c>
      <c r="C11" s="6" t="s">
        <v>242</v>
      </c>
      <c r="D11" s="26" t="s">
        <v>40</v>
      </c>
      <c r="E11" s="25" t="n">
        <f aca="false">E10+IFERROR(B11,0)</f>
        <v>481.49</v>
      </c>
      <c r="G11" s="35" t="s">
        <v>15</v>
      </c>
      <c r="H11" s="36" t="n">
        <f aca="false">SUMIF(D$2:D$202,"사치 음식",B$2:B$202)</f>
        <v>0</v>
      </c>
      <c r="I11" s="37" t="str">
        <f aca="true">IFERROR((H11-INDIRECT("'"&amp;$H$2&amp;"'!H11"))/INDIRECT("'"&amp;$H$2&amp;"'!H11"),"")</f>
        <v/>
      </c>
    </row>
    <row r="12" customFormat="false" ht="15" hidden="false" customHeight="false" outlineLevel="0" collapsed="false">
      <c r="A12" s="18" t="n">
        <v>46029</v>
      </c>
      <c r="B12" s="19" t="n">
        <v>11.12</v>
      </c>
      <c r="C12" s="8" t="s">
        <v>243</v>
      </c>
      <c r="D12" s="20" t="s">
        <v>40</v>
      </c>
      <c r="E12" s="19" t="n">
        <f aca="false">E11+IFERROR(B12,0)</f>
        <v>492.61</v>
      </c>
      <c r="G12" s="32" t="s">
        <v>16</v>
      </c>
      <c r="H12" s="33" t="n">
        <f aca="false">SUMIF(D$2:D$202,"사치품",B$2:B$202)</f>
        <v>827.57</v>
      </c>
      <c r="I12" s="34" t="n">
        <f aca="true">IFERROR((H12-INDIRECT("'"&amp;$H$2&amp;"'!H12"))/INDIRECT("'"&amp;$H$2&amp;"'!H12"),"")</f>
        <v>4.41249182472204</v>
      </c>
    </row>
    <row r="13" customFormat="false" ht="15" hidden="false" customHeight="false" outlineLevel="0" collapsed="false">
      <c r="A13" s="26"/>
      <c r="B13" s="25" t="n">
        <v>9.28</v>
      </c>
      <c r="C13" s="6" t="s">
        <v>244</v>
      </c>
      <c r="D13" s="26" t="s">
        <v>40</v>
      </c>
      <c r="E13" s="25" t="n">
        <f aca="false">E12+IFERROR(B13,0)</f>
        <v>501.89</v>
      </c>
      <c r="G13" s="35" t="s">
        <v>17</v>
      </c>
      <c r="H13" s="36" t="n">
        <f aca="false">SUMIF(D$2:D$202,"여행",B$2:B$202)</f>
        <v>0</v>
      </c>
      <c r="I13" s="37" t="str">
        <f aca="true">IFERROR((H13-INDIRECT("'"&amp;$H$2&amp;"'!H13"))/INDIRECT("'"&amp;$H$2&amp;"'!H13"),"")</f>
        <v/>
      </c>
    </row>
    <row r="14" customFormat="false" ht="15" hidden="false" customHeight="false" outlineLevel="0" collapsed="false">
      <c r="A14" s="20"/>
      <c r="B14" s="19" t="n">
        <v>5.76</v>
      </c>
      <c r="C14" s="8" t="s">
        <v>245</v>
      </c>
      <c r="D14" s="20" t="s">
        <v>40</v>
      </c>
      <c r="E14" s="19" t="n">
        <f aca="false">E13+IFERROR(B14,0)</f>
        <v>507.65</v>
      </c>
      <c r="G14" s="32" t="s">
        <v>18</v>
      </c>
      <c r="H14" s="33" t="n">
        <f aca="false">SUMIF(D$2:D$202,"자기개발비",B$2:B$202)</f>
        <v>1405.6</v>
      </c>
      <c r="I14" s="34" t="n">
        <f aca="true">IFERROR((H14-INDIRECT("'"&amp;$H$2&amp;"'!H14"))/INDIRECT("'"&amp;$H$2&amp;"'!H14"),"")</f>
        <v>65.3018867924528</v>
      </c>
    </row>
    <row r="15" customFormat="false" ht="15" hidden="false" customHeight="false" outlineLevel="0" collapsed="false">
      <c r="A15" s="26"/>
      <c r="B15" s="25" t="n">
        <v>17</v>
      </c>
      <c r="C15" s="12" t="s">
        <v>246</v>
      </c>
      <c r="D15" s="26" t="s">
        <v>61</v>
      </c>
      <c r="E15" s="25" t="n">
        <f aca="false">E14+IFERROR(B15,0)</f>
        <v>524.65</v>
      </c>
      <c r="G15" s="35" t="s">
        <v>19</v>
      </c>
      <c r="H15" s="36" t="n">
        <f aca="false">H5-SUM(H6:H14)</f>
        <v>0</v>
      </c>
      <c r="I15" s="37" t="str">
        <f aca="true">IFERROR((H15-INDIRECT("'"&amp;$H$2&amp;"'!H15"))/INDIRECT("'"&amp;$H$2&amp;"'!H15"),"")</f>
        <v/>
      </c>
    </row>
    <row r="16" customFormat="false" ht="15" hidden="false" customHeight="false" outlineLevel="0" collapsed="false">
      <c r="A16" s="18" t="n">
        <v>46030</v>
      </c>
      <c r="B16" s="19" t="n">
        <v>5.76</v>
      </c>
      <c r="C16" s="8" t="s">
        <v>247</v>
      </c>
      <c r="D16" s="20" t="s">
        <v>40</v>
      </c>
      <c r="E16" s="19" t="n">
        <f aca="false">E15+IFERROR(B16,0)</f>
        <v>530.41</v>
      </c>
      <c r="G16" s="27"/>
      <c r="H16" s="27"/>
      <c r="I16" s="27"/>
    </row>
    <row r="17" customFormat="false" ht="15" hidden="false" customHeight="false" outlineLevel="0" collapsed="false">
      <c r="A17" s="26"/>
      <c r="B17" s="25" t="n">
        <v>5</v>
      </c>
      <c r="C17" s="6" t="s">
        <v>68</v>
      </c>
      <c r="D17" s="26" t="s">
        <v>36</v>
      </c>
      <c r="E17" s="25" t="n">
        <f aca="false">E16+IFERROR(B17,0)</f>
        <v>535.41</v>
      </c>
      <c r="G17" s="38" t="s">
        <v>62</v>
      </c>
      <c r="H17" s="38"/>
      <c r="I17" s="38"/>
    </row>
    <row r="18" customFormat="false" ht="15" hidden="false" customHeight="false" outlineLevel="0" collapsed="false">
      <c r="A18" s="18" t="n">
        <v>46036</v>
      </c>
      <c r="B18" s="19" t="n">
        <v>7.53</v>
      </c>
      <c r="C18" s="8" t="s">
        <v>175</v>
      </c>
      <c r="D18" s="20" t="s">
        <v>61</v>
      </c>
      <c r="E18" s="19" t="n">
        <f aca="false">E17+IFERROR(B18,0)</f>
        <v>542.94</v>
      </c>
      <c r="G18" s="32" t="s">
        <v>21</v>
      </c>
      <c r="H18" s="33" t="n">
        <f aca="false">H7+H10+H11</f>
        <v>698.5873</v>
      </c>
      <c r="I18" s="41"/>
    </row>
    <row r="19" customFormat="false" ht="15" hidden="false" customHeight="false" outlineLevel="0" collapsed="false">
      <c r="A19" s="49" t="n">
        <v>46039</v>
      </c>
      <c r="B19" s="25" t="n">
        <v>141.2873</v>
      </c>
      <c r="C19" s="12" t="s">
        <v>248</v>
      </c>
      <c r="D19" s="26" t="s">
        <v>61</v>
      </c>
      <c r="E19" s="25" t="n">
        <f aca="false">E18+IFERROR(B19,0)</f>
        <v>684.2273</v>
      </c>
      <c r="G19" s="39" t="s">
        <v>66</v>
      </c>
      <c r="H19" s="36" t="n">
        <f aca="false">IFERROR(H18/H23,"")</f>
        <v>22.5350741935484</v>
      </c>
      <c r="I19" s="40" t="s">
        <v>67</v>
      </c>
    </row>
    <row r="20" customFormat="false" ht="15" hidden="false" customHeight="false" outlineLevel="0" collapsed="false">
      <c r="A20" s="20"/>
      <c r="B20" s="19" t="n">
        <v>55</v>
      </c>
      <c r="C20" s="8" t="s">
        <v>249</v>
      </c>
      <c r="D20" s="20" t="s">
        <v>74</v>
      </c>
      <c r="E20" s="19" t="n">
        <f aca="false">E19+IFERROR(B20,0)</f>
        <v>739.2273</v>
      </c>
      <c r="G20" s="41" t="s">
        <v>69</v>
      </c>
      <c r="H20" s="33" t="n">
        <f aca="false">IFERROR(H19/2.5,"")</f>
        <v>9.01402967741936</v>
      </c>
      <c r="I20" s="41"/>
    </row>
    <row r="21" customFormat="false" ht="15" hidden="false" customHeight="false" outlineLevel="0" collapsed="false">
      <c r="A21" s="49" t="n">
        <v>46040</v>
      </c>
      <c r="B21" s="25" t="n">
        <v>6</v>
      </c>
      <c r="C21" s="6" t="s">
        <v>250</v>
      </c>
      <c r="D21" s="26" t="s">
        <v>54</v>
      </c>
      <c r="E21" s="25" t="n">
        <f aca="false">E20+IFERROR(B21,0)</f>
        <v>745.2273</v>
      </c>
      <c r="G21" s="35" t="s">
        <v>71</v>
      </c>
      <c r="H21" s="42" t="n">
        <f aca="false">IFERROR(H10/H7,"")</f>
        <v>3.06368041417021</v>
      </c>
      <c r="I21" s="40" t="s">
        <v>72</v>
      </c>
    </row>
    <row r="22" customFormat="false" ht="15" hidden="false" customHeight="false" outlineLevel="0" collapsed="false">
      <c r="A22" s="20"/>
      <c r="B22" s="19" t="n">
        <v>5.25</v>
      </c>
      <c r="C22" s="8" t="s">
        <v>68</v>
      </c>
      <c r="D22" s="20" t="s">
        <v>36</v>
      </c>
      <c r="E22" s="19" t="n">
        <f aca="false">E21+IFERROR(B22,0)</f>
        <v>750.4773</v>
      </c>
      <c r="G22" s="27"/>
      <c r="H22" s="27"/>
      <c r="I22" s="27"/>
    </row>
    <row r="23" customFormat="false" ht="15" hidden="false" customHeight="false" outlineLevel="0" collapsed="false">
      <c r="A23" s="26"/>
      <c r="B23" s="25" t="n">
        <v>440</v>
      </c>
      <c r="C23" s="6" t="s">
        <v>251</v>
      </c>
      <c r="D23" s="26" t="s">
        <v>74</v>
      </c>
      <c r="E23" s="25" t="n">
        <f aca="false">E22+IFERROR(B23,0)</f>
        <v>1190.4773</v>
      </c>
      <c r="G23" s="43" t="s">
        <v>76</v>
      </c>
      <c r="H23" s="44" t="n">
        <v>31</v>
      </c>
      <c r="I23" s="23" t="s">
        <v>77</v>
      </c>
    </row>
    <row r="24" customFormat="false" ht="15" hidden="false" customHeight="false" outlineLevel="0" collapsed="false">
      <c r="A24" s="20"/>
      <c r="B24" s="19" t="n">
        <v>30</v>
      </c>
      <c r="C24" s="8" t="s">
        <v>252</v>
      </c>
      <c r="D24" s="20" t="s">
        <v>61</v>
      </c>
      <c r="E24" s="19" t="n">
        <f aca="false">E23+IFERROR(B24,0)</f>
        <v>1220.4773</v>
      </c>
      <c r="G24" s="27"/>
      <c r="H24" s="27"/>
      <c r="I24" s="27"/>
    </row>
    <row r="25" customFormat="false" ht="15" hidden="false" customHeight="false" outlineLevel="0" collapsed="false">
      <c r="A25" s="49" t="n">
        <v>46041</v>
      </c>
      <c r="B25" s="25" t="n">
        <v>20</v>
      </c>
      <c r="C25" s="6" t="s">
        <v>163</v>
      </c>
      <c r="D25" s="26" t="s">
        <v>74</v>
      </c>
      <c r="E25" s="25" t="n">
        <f aca="false">E24+IFERROR(B25,0)</f>
        <v>1240.4773</v>
      </c>
      <c r="G25" s="38" t="s">
        <v>80</v>
      </c>
      <c r="H25" s="38"/>
      <c r="I25" s="38"/>
    </row>
    <row r="26" customFormat="false" ht="15" hidden="false" customHeight="false" outlineLevel="0" collapsed="false">
      <c r="A26" s="20"/>
      <c r="B26" s="19" t="n">
        <v>20.77</v>
      </c>
      <c r="C26" s="8" t="s">
        <v>253</v>
      </c>
      <c r="D26" s="20" t="s">
        <v>36</v>
      </c>
      <c r="E26" s="19" t="n">
        <f aca="false">E25+IFERROR(B26,0)</f>
        <v>1261.2473</v>
      </c>
      <c r="G26" s="43" t="s">
        <v>82</v>
      </c>
      <c r="H26" s="45" t="n">
        <v>15</v>
      </c>
      <c r="I26" s="23" t="s">
        <v>83</v>
      </c>
    </row>
    <row r="27" customFormat="false" ht="15" hidden="false" customHeight="false" outlineLevel="0" collapsed="false">
      <c r="A27" s="26"/>
      <c r="B27" s="25" t="n">
        <v>5.93</v>
      </c>
      <c r="C27" s="6" t="s">
        <v>161</v>
      </c>
      <c r="D27" s="26" t="s">
        <v>232</v>
      </c>
      <c r="E27" s="25" t="n">
        <f aca="false">E26+IFERROR(B27,0)</f>
        <v>1267.1773</v>
      </c>
      <c r="G27" s="32" t="s">
        <v>85</v>
      </c>
      <c r="H27" s="33" t="n">
        <f aca="false">H26/2.5</f>
        <v>6</v>
      </c>
      <c r="I27" s="41"/>
    </row>
    <row r="28" customFormat="false" ht="15" hidden="false" customHeight="false" outlineLevel="0" collapsed="false">
      <c r="A28" s="18" t="n">
        <v>46043</v>
      </c>
      <c r="B28" s="19" t="n">
        <v>9.69</v>
      </c>
      <c r="C28" s="13" t="s">
        <v>254</v>
      </c>
      <c r="D28" s="20" t="s">
        <v>61</v>
      </c>
      <c r="E28" s="19" t="n">
        <f aca="false">E27+IFERROR(B28,0)</f>
        <v>1276.8673</v>
      </c>
      <c r="G28" s="46" t="s">
        <v>87</v>
      </c>
      <c r="H28" s="22" t="s">
        <v>88</v>
      </c>
      <c r="I28" s="23" t="s">
        <v>83</v>
      </c>
    </row>
    <row r="29" customFormat="false" ht="15" hidden="false" customHeight="false" outlineLevel="0" collapsed="false">
      <c r="A29" s="49" t="n">
        <v>46044</v>
      </c>
      <c r="B29" s="25" t="n">
        <v>11.84</v>
      </c>
      <c r="C29" s="12" t="s">
        <v>255</v>
      </c>
      <c r="D29" s="26" t="s">
        <v>61</v>
      </c>
      <c r="E29" s="25" t="n">
        <f aca="false">E28+IFERROR(B29,0)</f>
        <v>1288.7073</v>
      </c>
      <c r="G29" s="27"/>
      <c r="H29" s="27"/>
      <c r="I29" s="27"/>
    </row>
    <row r="30" customFormat="false" ht="15" hidden="false" customHeight="false" outlineLevel="0" collapsed="false">
      <c r="A30" s="18" t="n">
        <v>46045</v>
      </c>
      <c r="B30" s="19" t="n">
        <v>3</v>
      </c>
      <c r="C30" s="13" t="s">
        <v>256</v>
      </c>
      <c r="D30" s="20" t="s">
        <v>46</v>
      </c>
      <c r="E30" s="19" t="n">
        <f aca="false">E29+IFERROR(B30,0)</f>
        <v>1291.7073</v>
      </c>
      <c r="G30" s="38" t="s">
        <v>91</v>
      </c>
      <c r="H30" s="38"/>
      <c r="I30" s="38"/>
    </row>
    <row r="31" customFormat="false" ht="15" hidden="false" customHeight="false" outlineLevel="0" collapsed="false">
      <c r="A31" s="26"/>
      <c r="B31" s="25" t="n">
        <v>4.56</v>
      </c>
      <c r="C31" s="12" t="s">
        <v>257</v>
      </c>
      <c r="D31" s="26" t="s">
        <v>74</v>
      </c>
      <c r="E31" s="25" t="n">
        <f aca="false">E30+IFERROR(B31,0)</f>
        <v>1296.2673</v>
      </c>
      <c r="G31" s="43" t="s">
        <v>26</v>
      </c>
      <c r="H31" s="45" t="n">
        <f aca="false">'2025년 12월'!H31-'2025년 12월'!H5</f>
        <v>9250.92</v>
      </c>
      <c r="I31" s="23" t="s">
        <v>83</v>
      </c>
    </row>
    <row r="32" customFormat="false" ht="15" hidden="false" customHeight="false" outlineLevel="0" collapsed="false">
      <c r="A32" s="18" t="n">
        <v>46049</v>
      </c>
      <c r="B32" s="19" t="n">
        <v>50.82</v>
      </c>
      <c r="C32" s="13" t="s">
        <v>258</v>
      </c>
      <c r="D32" s="20" t="s">
        <v>61</v>
      </c>
      <c r="E32" s="19" t="n">
        <f aca="false">E31+IFERROR(B32,0)</f>
        <v>1347.0873</v>
      </c>
      <c r="G32" s="32" t="s">
        <v>27</v>
      </c>
      <c r="H32" s="33" t="n">
        <f aca="false">AVERAGE('2025년 9월'!H5,'2025년 10월'!H5,'2025년 11월'!H5,'2025년 12월'!H5,H5)</f>
        <v>1816.76346</v>
      </c>
      <c r="I32" s="41"/>
    </row>
    <row r="33" customFormat="false" ht="15" hidden="false" customHeight="false" outlineLevel="0" collapsed="false">
      <c r="A33" s="49" t="n">
        <v>46050</v>
      </c>
      <c r="B33" s="25" t="n">
        <v>15.37</v>
      </c>
      <c r="C33" s="6" t="s">
        <v>221</v>
      </c>
      <c r="D33" s="26" t="s">
        <v>61</v>
      </c>
      <c r="E33" s="25" t="n">
        <f aca="false">E32+IFERROR(B33,0)</f>
        <v>1362.4573</v>
      </c>
      <c r="G33" s="46" t="s">
        <v>95</v>
      </c>
      <c r="H33" s="47" t="n">
        <f aca="false">IFERROR(H31/H32,"")</f>
        <v>5.09197823694671</v>
      </c>
      <c r="I33" s="46" t="s">
        <v>96</v>
      </c>
    </row>
    <row r="34" customFormat="false" ht="15" hidden="false" customHeight="false" outlineLevel="0" collapsed="false">
      <c r="A34" s="20"/>
      <c r="B34" s="19" t="n">
        <v>7.2</v>
      </c>
      <c r="C34" s="13" t="s">
        <v>259</v>
      </c>
      <c r="D34" s="20" t="s">
        <v>74</v>
      </c>
      <c r="E34" s="19" t="n">
        <f aca="false">E33+IFERROR(B34,0)</f>
        <v>1369.6573</v>
      </c>
      <c r="G34" s="32" t="s">
        <v>98</v>
      </c>
      <c r="H34" s="48" t="n">
        <f aca="true">IFERROR(TODAY()+H33*30,"")</f>
        <v>46234.7593471084</v>
      </c>
      <c r="I34" s="41"/>
    </row>
    <row r="35" customFormat="false" ht="15" hidden="false" customHeight="false" outlineLevel="0" collapsed="false">
      <c r="A35" s="49" t="n">
        <v>46051</v>
      </c>
      <c r="B35" s="25" t="n">
        <v>1399.67</v>
      </c>
      <c r="C35" s="6" t="s">
        <v>260</v>
      </c>
      <c r="D35" s="26" t="s">
        <v>232</v>
      </c>
      <c r="E35" s="25" t="n">
        <f aca="false">E34+IFERROR(B35,0)</f>
        <v>2769.3273</v>
      </c>
    </row>
    <row r="36" customFormat="false" ht="15" hidden="false" customHeight="false" outlineLevel="0" collapsed="false">
      <c r="A36" s="20"/>
      <c r="B36" s="19" t="n">
        <v>18.45</v>
      </c>
      <c r="C36" s="13" t="s">
        <v>261</v>
      </c>
      <c r="D36" s="20" t="s">
        <v>61</v>
      </c>
      <c r="E36" s="19" t="n">
        <f aca="false">E35+IFERROR(B36,0)</f>
        <v>2787.7773</v>
      </c>
    </row>
    <row r="37" customFormat="false" ht="15" hidden="false" customHeight="false" outlineLevel="0" collapsed="false">
      <c r="A37" s="26"/>
      <c r="B37" s="25" t="n">
        <v>191.8</v>
      </c>
      <c r="C37" s="6" t="s">
        <v>262</v>
      </c>
      <c r="D37" s="26" t="s">
        <v>74</v>
      </c>
      <c r="E37" s="25" t="n">
        <f aca="false">E36+IFERROR(B37,0)</f>
        <v>2979.5773</v>
      </c>
      <c r="G37" s="50" t="s">
        <v>32</v>
      </c>
      <c r="H37" s="50" t="s">
        <v>102</v>
      </c>
    </row>
    <row r="38" customFormat="false" ht="15" hidden="false" customHeight="false" outlineLevel="0" collapsed="false">
      <c r="A38" s="18" t="n">
        <v>46052</v>
      </c>
      <c r="B38" s="19" t="n">
        <v>5</v>
      </c>
      <c r="C38" s="8" t="s">
        <v>68</v>
      </c>
      <c r="D38" s="20" t="s">
        <v>36</v>
      </c>
      <c r="E38" s="19" t="n">
        <f aca="false">E37+IFERROR(B38,0)</f>
        <v>2984.5773</v>
      </c>
      <c r="G38" s="50" t="s">
        <v>36</v>
      </c>
      <c r="H38" s="51" t="n">
        <f aca="false">H6</f>
        <v>71.48</v>
      </c>
    </row>
    <row r="39" customFormat="false" ht="15" hidden="false" customHeight="false" outlineLevel="0" collapsed="false">
      <c r="A39" s="49" t="n">
        <v>46053</v>
      </c>
      <c r="B39" s="25" t="n">
        <v>14.7</v>
      </c>
      <c r="C39" s="6" t="s">
        <v>228</v>
      </c>
      <c r="D39" s="26" t="s">
        <v>74</v>
      </c>
      <c r="E39" s="25" t="n">
        <f aca="false">E38+IFERROR(B39,0)</f>
        <v>2999.2773</v>
      </c>
      <c r="G39" s="50" t="s">
        <v>105</v>
      </c>
      <c r="H39" s="51" t="n">
        <f aca="false">H7+H10</f>
        <v>698.5873</v>
      </c>
    </row>
    <row r="40" customFormat="false" ht="15" hidden="false" customHeight="false" outlineLevel="0" collapsed="false">
      <c r="A40" s="20"/>
      <c r="B40" s="19" t="n">
        <v>35.46</v>
      </c>
      <c r="C40" s="8" t="s">
        <v>229</v>
      </c>
      <c r="D40" s="20" t="s">
        <v>36</v>
      </c>
      <c r="E40" s="19" t="n">
        <f aca="false">E39+IFERROR(B40,0)</f>
        <v>3034.7373</v>
      </c>
      <c r="G40" s="50" t="s">
        <v>46</v>
      </c>
      <c r="H40" s="51" t="n">
        <f aca="false">H8</f>
        <v>25.5</v>
      </c>
    </row>
    <row r="41" customFormat="false" ht="15" hidden="false" customHeight="false" outlineLevel="0" collapsed="false">
      <c r="G41" s="50" t="s">
        <v>54</v>
      </c>
      <c r="H41" s="51" t="n">
        <f aca="false">H9</f>
        <v>6</v>
      </c>
    </row>
    <row r="42" customFormat="false" ht="15" hidden="false" customHeight="false" outlineLevel="0" collapsed="false">
      <c r="G42" s="50" t="s">
        <v>74</v>
      </c>
      <c r="H42" s="51" t="n">
        <f aca="false">H12</f>
        <v>827.57</v>
      </c>
    </row>
    <row r="43" customFormat="false" ht="15" hidden="false" customHeight="false" outlineLevel="0" collapsed="false">
      <c r="G43" s="50" t="s">
        <v>232</v>
      </c>
      <c r="H43" s="51" t="n">
        <f aca="false">H14</f>
        <v>1405.6</v>
      </c>
    </row>
  </sheetData>
  <mergeCells count="4">
    <mergeCell ref="G1:I1"/>
    <mergeCell ref="G17:I17"/>
    <mergeCell ref="G25:I25"/>
    <mergeCell ref="G30:I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28"/>
    <col collapsed="false" customWidth="true" hidden="false" outlineLevel="0" max="5" min="4" style="0" width="12"/>
    <col collapsed="false" customWidth="true" hidden="false" outlineLevel="0" max="6" min="6" style="0" width="1.51"/>
    <col collapsed="false" customWidth="true" hidden="false" outlineLevel="0" max="7" min="7" style="0" width="24"/>
    <col collapsed="false" customWidth="true" hidden="false" outlineLevel="0" max="8" min="8" style="0" width="14"/>
    <col collapsed="false" customWidth="true" hidden="false" outlineLevel="0" max="9" min="9" style="0" width="13"/>
  </cols>
  <sheetData>
    <row r="1" customFormat="false" ht="27.75" hidden="false" customHeight="true" outlineLevel="0" collapsed="false">
      <c r="A1" s="16" t="s">
        <v>29</v>
      </c>
      <c r="B1" s="16" t="s">
        <v>30</v>
      </c>
      <c r="C1" s="16" t="s">
        <v>31</v>
      </c>
      <c r="D1" s="16" t="s">
        <v>32</v>
      </c>
      <c r="E1" s="16" t="s">
        <v>33</v>
      </c>
      <c r="G1" s="17" t="s">
        <v>263</v>
      </c>
      <c r="H1" s="17"/>
      <c r="I1" s="17"/>
    </row>
    <row r="2" customFormat="false" ht="15" hidden="false" customHeight="false" outlineLevel="0" collapsed="false">
      <c r="A2" s="18" t="n">
        <v>46054</v>
      </c>
      <c r="B2" s="19" t="n">
        <v>440</v>
      </c>
      <c r="C2" s="8" t="s">
        <v>264</v>
      </c>
      <c r="D2" s="20" t="s">
        <v>74</v>
      </c>
      <c r="E2" s="19" t="n">
        <f aca="false">IFERROR(B2,0)</f>
        <v>440</v>
      </c>
      <c r="G2" s="21" t="s">
        <v>37</v>
      </c>
      <c r="H2" s="22" t="s">
        <v>265</v>
      </c>
      <c r="I2" s="23" t="s">
        <v>38</v>
      </c>
    </row>
    <row r="3" customFormat="false" ht="15" hidden="false" customHeight="false" outlineLevel="0" collapsed="false">
      <c r="A3" s="49" t="n">
        <v>46055</v>
      </c>
      <c r="B3" s="25" t="n">
        <v>11.31</v>
      </c>
      <c r="C3" s="12" t="s">
        <v>266</v>
      </c>
      <c r="D3" s="26" t="s">
        <v>61</v>
      </c>
      <c r="E3" s="25" t="n">
        <f aca="false">E2+IFERROR(B3,0)</f>
        <v>451.31</v>
      </c>
      <c r="G3" s="27"/>
      <c r="H3" s="27"/>
      <c r="I3" s="27"/>
    </row>
    <row r="4" customFormat="false" ht="15" hidden="false" customHeight="false" outlineLevel="0" collapsed="false">
      <c r="A4" s="20"/>
      <c r="B4" s="19" t="n">
        <v>20.79</v>
      </c>
      <c r="C4" s="13" t="s">
        <v>267</v>
      </c>
      <c r="D4" s="20" t="s">
        <v>36</v>
      </c>
      <c r="E4" s="19" t="n">
        <f aca="false">E3+IFERROR(B4,0)</f>
        <v>472.1</v>
      </c>
      <c r="G4" s="2" t="s">
        <v>42</v>
      </c>
      <c r="H4" s="28" t="s">
        <v>43</v>
      </c>
      <c r="I4" s="28" t="s">
        <v>44</v>
      </c>
    </row>
    <row r="5" customFormat="false" ht="15" hidden="false" customHeight="false" outlineLevel="0" collapsed="false">
      <c r="A5" s="26"/>
      <c r="B5" s="25" t="n">
        <v>19.79</v>
      </c>
      <c r="C5" s="12" t="s">
        <v>268</v>
      </c>
      <c r="D5" s="26" t="s">
        <v>269</v>
      </c>
      <c r="E5" s="25" t="n">
        <f aca="false">E4+IFERROR(B5,0)</f>
        <v>491.89</v>
      </c>
      <c r="G5" s="29" t="s">
        <v>9</v>
      </c>
      <c r="H5" s="30" t="n">
        <f aca="false">SUM(B$2:B$202)</f>
        <v>2538.42</v>
      </c>
      <c r="I5" s="31" t="n">
        <f aca="true">IFERROR((H5-INDIRECT("'"&amp;$H$2&amp;"'!H5"))/INDIRECT("'"&amp;$H$2&amp;"'!H5"),"")</f>
        <v>-0.163545391556627</v>
      </c>
    </row>
    <row r="6" customFormat="false" ht="15" hidden="false" customHeight="false" outlineLevel="0" collapsed="false">
      <c r="A6" s="20"/>
      <c r="B6" s="19" t="n">
        <v>6.69</v>
      </c>
      <c r="C6" s="13" t="s">
        <v>270</v>
      </c>
      <c r="D6" s="20" t="s">
        <v>269</v>
      </c>
      <c r="E6" s="19" t="n">
        <f aca="false">E5+IFERROR(B6,0)</f>
        <v>498.58</v>
      </c>
      <c r="G6" s="32" t="s">
        <v>10</v>
      </c>
      <c r="H6" s="33" t="n">
        <f aca="false">SUMIF(D$2:D$202,"생필품",B$2:B$202)</f>
        <v>194.9</v>
      </c>
      <c r="I6" s="34" t="n">
        <f aca="true">IFERROR((H6-INDIRECT("'"&amp;$H$2&amp;"'!H6"))/INDIRECT("'"&amp;$H$2&amp;"'!H6"),"")</f>
        <v>1.72663682148853</v>
      </c>
    </row>
    <row r="7" customFormat="false" ht="15" hidden="false" customHeight="false" outlineLevel="0" collapsed="false">
      <c r="A7" s="26"/>
      <c r="B7" s="25" t="n">
        <v>14.79</v>
      </c>
      <c r="C7" s="12" t="s">
        <v>271</v>
      </c>
      <c r="D7" s="26" t="s">
        <v>269</v>
      </c>
      <c r="E7" s="25" t="n">
        <f aca="false">E6+IFERROR(B7,0)</f>
        <v>513.37</v>
      </c>
      <c r="G7" s="35" t="s">
        <v>11</v>
      </c>
      <c r="H7" s="36" t="n">
        <f aca="false">SUMIF(D$2:D$202,"식재료",B$2:B$202)</f>
        <v>187.46</v>
      </c>
      <c r="I7" s="37" t="n">
        <f aca="true">IFERROR((H7-INDIRECT("'"&amp;$H$2&amp;"'!H7"))/INDIRECT("'"&amp;$H$2&amp;"'!H7"),"")</f>
        <v>0.0904543074864754</v>
      </c>
    </row>
    <row r="8" customFormat="false" ht="15" hidden="false" customHeight="false" outlineLevel="0" collapsed="false">
      <c r="A8" s="20"/>
      <c r="B8" s="19" t="n">
        <v>131.69</v>
      </c>
      <c r="C8" s="13" t="s">
        <v>272</v>
      </c>
      <c r="D8" s="20" t="s">
        <v>40</v>
      </c>
      <c r="E8" s="19" t="n">
        <f aca="false">E7+IFERROR(B8,0)</f>
        <v>645.06</v>
      </c>
      <c r="G8" s="32" t="s">
        <v>12</v>
      </c>
      <c r="H8" s="33" t="n">
        <f aca="false">SUMIF(D$2:D$202,"보조제",B$2:B$202)</f>
        <v>62.46</v>
      </c>
      <c r="I8" s="34" t="n">
        <f aca="true">IFERROR((H8-INDIRECT("'"&amp;$H$2&amp;"'!H8"))/INDIRECT("'"&amp;$H$2&amp;"'!H8"),"")</f>
        <v>1.44941176470588</v>
      </c>
    </row>
    <row r="9" customFormat="false" ht="15" hidden="false" customHeight="false" outlineLevel="0" collapsed="false">
      <c r="A9" s="26"/>
      <c r="B9" s="25" t="n">
        <v>28.95</v>
      </c>
      <c r="C9" s="12" t="s">
        <v>273</v>
      </c>
      <c r="D9" s="26" t="s">
        <v>269</v>
      </c>
      <c r="E9" s="25" t="n">
        <f aca="false">E8+IFERROR(B9,0)</f>
        <v>674.01</v>
      </c>
      <c r="G9" s="35" t="s">
        <v>13</v>
      </c>
      <c r="H9" s="36" t="n">
        <f aca="false">SUMIF(D$2:D$202,"교통비",B$2:B$202)</f>
        <v>8.98</v>
      </c>
      <c r="I9" s="37" t="n">
        <f aca="true">IFERROR((H9-INDIRECT("'"&amp;$H$2&amp;"'!H9"))/INDIRECT("'"&amp;$H$2&amp;"'!H9"),"")</f>
        <v>0.496666666666667</v>
      </c>
    </row>
    <row r="10" customFormat="false" ht="15" hidden="false" customHeight="false" outlineLevel="0" collapsed="false">
      <c r="A10" s="20"/>
      <c r="B10" s="19" t="n">
        <v>17.99</v>
      </c>
      <c r="C10" s="13" t="s">
        <v>274</v>
      </c>
      <c r="D10" s="20" t="s">
        <v>40</v>
      </c>
      <c r="E10" s="19" t="n">
        <f aca="false">E9+IFERROR(B10,0)</f>
        <v>692</v>
      </c>
      <c r="G10" s="32" t="s">
        <v>14</v>
      </c>
      <c r="H10" s="33" t="n">
        <f aca="false">SUMIF(D$2:D$202,"외식",B$2:B$202)</f>
        <v>185.8</v>
      </c>
      <c r="I10" s="34" t="n">
        <f aca="true">IFERROR((H10-INDIRECT("'"&amp;$H$2&amp;"'!H10"))/INDIRECT("'"&amp;$H$2&amp;"'!H10"),"")</f>
        <v>-0.647222312410275</v>
      </c>
    </row>
    <row r="11" customFormat="false" ht="15" hidden="false" customHeight="false" outlineLevel="0" collapsed="false">
      <c r="A11" s="26"/>
      <c r="B11" s="25" t="n">
        <v>12.47</v>
      </c>
      <c r="C11" s="12" t="s">
        <v>275</v>
      </c>
      <c r="D11" s="26" t="s">
        <v>46</v>
      </c>
      <c r="E11" s="25" t="n">
        <f aca="false">E10+IFERROR(B11,0)</f>
        <v>704.47</v>
      </c>
      <c r="G11" s="35" t="s">
        <v>15</v>
      </c>
      <c r="H11" s="36" t="n">
        <f aca="false">SUMIF(D$2:D$202,"사치 음식",B$2:B$202)</f>
        <v>116.03</v>
      </c>
      <c r="I11" s="37" t="str">
        <f aca="true">IFERROR((H11-INDIRECT("'"&amp;$H$2&amp;"'!H11"))/INDIRECT("'"&amp;$H$2&amp;"'!H11"),"")</f>
        <v/>
      </c>
    </row>
    <row r="12" customFormat="false" ht="15" hidden="false" customHeight="false" outlineLevel="0" collapsed="false">
      <c r="A12" s="20"/>
      <c r="B12" s="19" t="n">
        <v>24.55</v>
      </c>
      <c r="C12" s="13" t="s">
        <v>276</v>
      </c>
      <c r="D12" s="20" t="s">
        <v>36</v>
      </c>
      <c r="E12" s="19" t="n">
        <f aca="false">E11+IFERROR(B12,0)</f>
        <v>729.02</v>
      </c>
      <c r="G12" s="32" t="s">
        <v>16</v>
      </c>
      <c r="H12" s="33" t="n">
        <f aca="false">SUMIF(D$2:D$202,"사치품",B$2:B$202)</f>
        <v>604.75</v>
      </c>
      <c r="I12" s="34" t="n">
        <f aca="true">IFERROR((H12-INDIRECT("'"&amp;$H$2&amp;"'!H12"))/INDIRECT("'"&amp;$H$2&amp;"'!H12"),"")</f>
        <v>-0.269246106069577</v>
      </c>
    </row>
    <row r="13" customFormat="false" ht="15" hidden="false" customHeight="false" outlineLevel="0" collapsed="false">
      <c r="A13" s="26"/>
      <c r="B13" s="25" t="n">
        <v>49.99</v>
      </c>
      <c r="C13" s="12" t="s">
        <v>277</v>
      </c>
      <c r="D13" s="26" t="s">
        <v>46</v>
      </c>
      <c r="E13" s="25" t="n">
        <f aca="false">E12+IFERROR(B13,0)</f>
        <v>779.01</v>
      </c>
      <c r="G13" s="35" t="s">
        <v>17</v>
      </c>
      <c r="H13" s="36" t="n">
        <f aca="false">SUMIF(D$2:D$202,"여행",B$2:B$202)</f>
        <v>668</v>
      </c>
      <c r="I13" s="37" t="str">
        <f aca="true">IFERROR((H13-INDIRECT("'"&amp;$H$2&amp;"'!H13"))/INDIRECT("'"&amp;$H$2&amp;"'!H13"),"")</f>
        <v/>
      </c>
    </row>
    <row r="14" customFormat="false" ht="15" hidden="false" customHeight="false" outlineLevel="0" collapsed="false">
      <c r="A14" s="20"/>
      <c r="B14" s="19" t="n">
        <v>8.54</v>
      </c>
      <c r="C14" s="8" t="s">
        <v>244</v>
      </c>
      <c r="D14" s="20" t="s">
        <v>40</v>
      </c>
      <c r="E14" s="19" t="n">
        <f aca="false">E13+IFERROR(B14,0)</f>
        <v>787.55</v>
      </c>
      <c r="G14" s="32" t="s">
        <v>18</v>
      </c>
      <c r="H14" s="33" t="n">
        <f aca="false">SUMIF(D$2:D$202,"자기개발비",B$2:B$202)</f>
        <v>510.04</v>
      </c>
      <c r="I14" s="34" t="n">
        <f aca="true">IFERROR((H14-INDIRECT("'"&amp;$H$2&amp;"'!H14"))/INDIRECT("'"&amp;$H$2&amp;"'!H14"),"")</f>
        <v>-0.637137165623221</v>
      </c>
    </row>
    <row r="15" customFormat="false" ht="15" hidden="false" customHeight="false" outlineLevel="0" collapsed="false">
      <c r="A15" s="49" t="n">
        <v>46060</v>
      </c>
      <c r="B15" s="25" t="n">
        <v>38</v>
      </c>
      <c r="C15" s="6" t="s">
        <v>146</v>
      </c>
      <c r="D15" s="26" t="s">
        <v>36</v>
      </c>
      <c r="E15" s="25" t="n">
        <f aca="false">E14+IFERROR(B15,0)</f>
        <v>825.55</v>
      </c>
      <c r="G15" s="35" t="s">
        <v>19</v>
      </c>
      <c r="H15" s="36" t="n">
        <f aca="false">H5-SUM(H6:H14)</f>
        <v>0</v>
      </c>
      <c r="I15" s="37" t="str">
        <f aca="true">IFERROR((H15-INDIRECT("'"&amp;$H$2&amp;"'!H15"))/INDIRECT("'"&amp;$H$2&amp;"'!H15"),"")</f>
        <v/>
      </c>
    </row>
    <row r="16" customFormat="false" ht="15" hidden="false" customHeight="false" outlineLevel="0" collapsed="false">
      <c r="A16" s="20"/>
      <c r="B16" s="19" t="n">
        <v>28.54</v>
      </c>
      <c r="C16" s="13" t="s">
        <v>278</v>
      </c>
      <c r="D16" s="20" t="s">
        <v>61</v>
      </c>
      <c r="E16" s="19" t="n">
        <f aca="false">E15+IFERROR(B16,0)</f>
        <v>854.09</v>
      </c>
      <c r="G16" s="27"/>
      <c r="H16" s="27"/>
      <c r="I16" s="27"/>
    </row>
    <row r="17" customFormat="false" ht="15" hidden="false" customHeight="false" outlineLevel="0" collapsed="false">
      <c r="A17" s="26"/>
      <c r="B17" s="25" t="n">
        <v>29.24</v>
      </c>
      <c r="C17" s="6" t="s">
        <v>279</v>
      </c>
      <c r="D17" s="26" t="s">
        <v>40</v>
      </c>
      <c r="E17" s="25" t="n">
        <f aca="false">E16+IFERROR(B17,0)</f>
        <v>883.33</v>
      </c>
      <c r="G17" s="38" t="s">
        <v>62</v>
      </c>
      <c r="H17" s="38"/>
      <c r="I17" s="38"/>
    </row>
    <row r="18" customFormat="false" ht="15" hidden="false" customHeight="false" outlineLevel="0" collapsed="false">
      <c r="A18" s="20"/>
      <c r="B18" s="19" t="n">
        <v>5</v>
      </c>
      <c r="C18" s="8" t="s">
        <v>68</v>
      </c>
      <c r="D18" s="20" t="s">
        <v>36</v>
      </c>
      <c r="E18" s="19" t="n">
        <f aca="false">E17+IFERROR(B18,0)</f>
        <v>888.33</v>
      </c>
      <c r="G18" s="32" t="s">
        <v>21</v>
      </c>
      <c r="H18" s="33" t="n">
        <f aca="false">H7+H10+H11</f>
        <v>489.29</v>
      </c>
      <c r="I18" s="41"/>
    </row>
    <row r="19" customFormat="false" ht="15" hidden="false" customHeight="false" outlineLevel="0" collapsed="false">
      <c r="A19" s="26"/>
      <c r="B19" s="25" t="n">
        <v>11.99</v>
      </c>
      <c r="C19" s="12" t="s">
        <v>280</v>
      </c>
      <c r="D19" s="26" t="s">
        <v>61</v>
      </c>
      <c r="E19" s="25" t="n">
        <f aca="false">E18+IFERROR(B19,0)</f>
        <v>900.32</v>
      </c>
      <c r="G19" s="39" t="s">
        <v>66</v>
      </c>
      <c r="H19" s="36" t="n">
        <f aca="false">IFERROR(H18/H23,"")</f>
        <v>17.4746428571429</v>
      </c>
      <c r="I19" s="40" t="s">
        <v>67</v>
      </c>
    </row>
    <row r="20" customFormat="false" ht="15" hidden="false" customHeight="false" outlineLevel="0" collapsed="false">
      <c r="A20" s="20"/>
      <c r="B20" s="19" t="n">
        <v>25</v>
      </c>
      <c r="C20" s="8" t="s">
        <v>281</v>
      </c>
      <c r="D20" s="20" t="s">
        <v>269</v>
      </c>
      <c r="E20" s="19" t="n">
        <f aca="false">E19+IFERROR(B20,0)</f>
        <v>925.32</v>
      </c>
      <c r="G20" s="41" t="s">
        <v>69</v>
      </c>
      <c r="H20" s="33" t="n">
        <f aca="false">IFERROR(H19/2.5,"")</f>
        <v>6.98985714285714</v>
      </c>
      <c r="I20" s="41"/>
    </row>
    <row r="21" customFormat="false" ht="15" hidden="false" customHeight="false" outlineLevel="0" collapsed="false">
      <c r="A21" s="49" t="n">
        <v>46064</v>
      </c>
      <c r="B21" s="25" t="n">
        <v>510.04</v>
      </c>
      <c r="C21" s="12" t="s">
        <v>282</v>
      </c>
      <c r="D21" s="26" t="s">
        <v>232</v>
      </c>
      <c r="E21" s="25" t="n">
        <f aca="false">E20+IFERROR(B21,0)</f>
        <v>1435.36</v>
      </c>
      <c r="G21" s="35" t="s">
        <v>71</v>
      </c>
      <c r="H21" s="42" t="n">
        <f aca="false">IFERROR(H10/H7,"")</f>
        <v>0.991144777552545</v>
      </c>
      <c r="I21" s="40" t="s">
        <v>72</v>
      </c>
    </row>
    <row r="22" customFormat="false" ht="15" hidden="false" customHeight="false" outlineLevel="0" collapsed="false">
      <c r="A22" s="20"/>
      <c r="B22" s="19" t="n">
        <v>3.99</v>
      </c>
      <c r="C22" s="13" t="s">
        <v>283</v>
      </c>
      <c r="D22" s="20" t="s">
        <v>74</v>
      </c>
      <c r="E22" s="19" t="n">
        <f aca="false">E21+IFERROR(B22,0)</f>
        <v>1439.35</v>
      </c>
      <c r="G22" s="27"/>
      <c r="H22" s="27"/>
      <c r="I22" s="27"/>
    </row>
    <row r="23" customFormat="false" ht="15" hidden="false" customHeight="false" outlineLevel="0" collapsed="false">
      <c r="A23" s="26"/>
      <c r="B23" s="25" t="n">
        <v>10.76</v>
      </c>
      <c r="C23" s="12" t="s">
        <v>284</v>
      </c>
      <c r="D23" s="26" t="s">
        <v>74</v>
      </c>
      <c r="E23" s="25" t="n">
        <f aca="false">E22+IFERROR(B23,0)</f>
        <v>1450.11</v>
      </c>
      <c r="G23" s="43" t="s">
        <v>76</v>
      </c>
      <c r="H23" s="44" t="n">
        <v>28</v>
      </c>
      <c r="I23" s="23" t="s">
        <v>77</v>
      </c>
    </row>
    <row r="24" customFormat="false" ht="15" hidden="false" customHeight="false" outlineLevel="0" collapsed="false">
      <c r="A24" s="18" t="n">
        <v>46070</v>
      </c>
      <c r="B24" s="19" t="n">
        <v>17.92</v>
      </c>
      <c r="C24" s="13" t="s">
        <v>258</v>
      </c>
      <c r="D24" s="20" t="s">
        <v>61</v>
      </c>
      <c r="E24" s="19" t="n">
        <f aca="false">E23+IFERROR(B24,0)</f>
        <v>1468.03</v>
      </c>
      <c r="G24" s="27"/>
      <c r="H24" s="27"/>
      <c r="I24" s="27"/>
    </row>
    <row r="25" customFormat="false" ht="15" hidden="false" customHeight="false" outlineLevel="0" collapsed="false">
      <c r="A25" s="26"/>
      <c r="B25" s="25" t="n">
        <v>150</v>
      </c>
      <c r="C25" s="12" t="s">
        <v>285</v>
      </c>
      <c r="D25" s="26" t="s">
        <v>74</v>
      </c>
      <c r="E25" s="25" t="n">
        <f aca="false">E24+IFERROR(B25,0)</f>
        <v>1618.03</v>
      </c>
      <c r="G25" s="38" t="s">
        <v>80</v>
      </c>
      <c r="H25" s="38"/>
      <c r="I25" s="38"/>
    </row>
    <row r="26" customFormat="false" ht="15" hidden="false" customHeight="false" outlineLevel="0" collapsed="false">
      <c r="A26" s="20"/>
      <c r="B26" s="19" t="n">
        <v>7.16</v>
      </c>
      <c r="C26" s="13" t="s">
        <v>286</v>
      </c>
      <c r="D26" s="20" t="s">
        <v>269</v>
      </c>
      <c r="E26" s="19" t="n">
        <f aca="false">E25+IFERROR(B26,0)</f>
        <v>1625.19</v>
      </c>
      <c r="G26" s="43" t="s">
        <v>82</v>
      </c>
      <c r="H26" s="45" t="n">
        <v>17</v>
      </c>
      <c r="I26" s="23" t="s">
        <v>83</v>
      </c>
    </row>
    <row r="27" customFormat="false" ht="15" hidden="false" customHeight="false" outlineLevel="0" collapsed="false">
      <c r="A27" s="49" t="n">
        <v>46071</v>
      </c>
      <c r="B27" s="25" t="n">
        <v>12.81</v>
      </c>
      <c r="C27" s="12" t="s">
        <v>287</v>
      </c>
      <c r="D27" s="26" t="s">
        <v>61</v>
      </c>
      <c r="E27" s="25" t="n">
        <f aca="false">E26+IFERROR(B27,0)</f>
        <v>1638</v>
      </c>
      <c r="G27" s="32" t="s">
        <v>85</v>
      </c>
      <c r="H27" s="33" t="n">
        <f aca="false">H26/2.5</f>
        <v>6.8</v>
      </c>
      <c r="I27" s="41"/>
    </row>
    <row r="28" customFormat="false" ht="15" hidden="false" customHeight="false" outlineLevel="0" collapsed="false">
      <c r="A28" s="18" t="n">
        <v>46073</v>
      </c>
      <c r="B28" s="19" t="n">
        <v>95</v>
      </c>
      <c r="C28" s="13" t="s">
        <v>288</v>
      </c>
      <c r="D28" s="20" t="s">
        <v>61</v>
      </c>
      <c r="E28" s="19" t="n">
        <f aca="false">E27+IFERROR(B28,0)</f>
        <v>1733</v>
      </c>
      <c r="G28" s="46" t="s">
        <v>87</v>
      </c>
      <c r="H28" s="22" t="s">
        <v>88</v>
      </c>
      <c r="I28" s="23" t="s">
        <v>83</v>
      </c>
    </row>
    <row r="29" customFormat="false" ht="15" hidden="false" customHeight="false" outlineLevel="0" collapsed="false">
      <c r="A29" s="26"/>
      <c r="B29" s="25" t="n">
        <v>13.65</v>
      </c>
      <c r="C29" s="12" t="s">
        <v>289</v>
      </c>
      <c r="D29" s="26" t="s">
        <v>269</v>
      </c>
      <c r="E29" s="25" t="n">
        <f aca="false">E28+IFERROR(B29,0)</f>
        <v>1746.65</v>
      </c>
      <c r="G29" s="27"/>
      <c r="H29" s="27"/>
      <c r="I29" s="27"/>
    </row>
    <row r="30" customFormat="false" ht="15" hidden="false" customHeight="false" outlineLevel="0" collapsed="false">
      <c r="A30" s="18" t="n">
        <v>46074</v>
      </c>
      <c r="B30" s="19" t="n">
        <v>5</v>
      </c>
      <c r="C30" s="13" t="s">
        <v>290</v>
      </c>
      <c r="D30" s="20" t="s">
        <v>36</v>
      </c>
      <c r="E30" s="19" t="n">
        <f aca="false">E29+IFERROR(B30,0)</f>
        <v>1751.65</v>
      </c>
      <c r="G30" s="38" t="s">
        <v>91</v>
      </c>
      <c r="H30" s="38"/>
      <c r="I30" s="38"/>
    </row>
    <row r="31" customFormat="false" ht="15" hidden="false" customHeight="false" outlineLevel="0" collapsed="false">
      <c r="A31" s="26"/>
      <c r="B31" s="25" t="n">
        <v>668</v>
      </c>
      <c r="C31" s="6" t="s">
        <v>291</v>
      </c>
      <c r="D31" s="26" t="s">
        <v>177</v>
      </c>
      <c r="E31" s="25" t="n">
        <f aca="false">E30+IFERROR(B31,0)</f>
        <v>2419.65</v>
      </c>
      <c r="G31" s="43" t="s">
        <v>26</v>
      </c>
      <c r="H31" s="45" t="n">
        <f aca="false">'2026년 1월'!H31-'2026년 1월'!H5</f>
        <v>6216.1827</v>
      </c>
      <c r="I31" s="23" t="s">
        <v>83</v>
      </c>
    </row>
    <row r="32" customFormat="false" ht="15" hidden="false" customHeight="false" outlineLevel="0" collapsed="false">
      <c r="A32" s="20"/>
      <c r="B32" s="19" t="n">
        <v>15.92</v>
      </c>
      <c r="C32" s="8" t="s">
        <v>292</v>
      </c>
      <c r="D32" s="20" t="s">
        <v>36</v>
      </c>
      <c r="E32" s="19" t="n">
        <f aca="false">E31+IFERROR(B32,0)</f>
        <v>2435.57</v>
      </c>
      <c r="G32" s="32" t="s">
        <v>27</v>
      </c>
      <c r="H32" s="33" t="n">
        <f aca="false">AVERAGE('2025년 9월'!H5,'2025년 10월'!H5,'2025년 11월'!H5,'2025년 12월'!H5,'2026년 1월'!H5,H5)</f>
        <v>1937.03955</v>
      </c>
      <c r="I32" s="41"/>
    </row>
    <row r="33" customFormat="false" ht="15" hidden="false" customHeight="false" outlineLevel="0" collapsed="false">
      <c r="A33" s="26"/>
      <c r="B33" s="25" t="n">
        <v>7.19</v>
      </c>
      <c r="C33" s="12" t="s">
        <v>293</v>
      </c>
      <c r="D33" s="26" t="s">
        <v>36</v>
      </c>
      <c r="E33" s="25" t="n">
        <f aca="false">E32+IFERROR(B33,0)</f>
        <v>2442.76</v>
      </c>
      <c r="G33" s="46" t="s">
        <v>95</v>
      </c>
      <c r="H33" s="47" t="n">
        <f aca="false">IFERROR(H31/H32,"")</f>
        <v>3.20911501264907</v>
      </c>
      <c r="I33" s="46" t="s">
        <v>96</v>
      </c>
    </row>
    <row r="34" customFormat="false" ht="15" hidden="false" customHeight="false" outlineLevel="0" collapsed="false">
      <c r="A34" s="20"/>
      <c r="B34" s="19" t="n">
        <v>42.99</v>
      </c>
      <c r="C34" s="8" t="s">
        <v>294</v>
      </c>
      <c r="D34" s="20" t="s">
        <v>36</v>
      </c>
      <c r="E34" s="19" t="n">
        <f aca="false">E33+IFERROR(B34,0)</f>
        <v>2485.75</v>
      </c>
      <c r="G34" s="32" t="s">
        <v>98</v>
      </c>
      <c r="H34" s="48" t="n">
        <f aca="true">IFERROR(TODAY()+H33*30,"")</f>
        <v>46178.2734503795</v>
      </c>
      <c r="I34" s="41"/>
    </row>
    <row r="35" customFormat="false" ht="15" hidden="false" customHeight="false" outlineLevel="0" collapsed="false">
      <c r="A35" s="49" t="n">
        <v>46076</v>
      </c>
      <c r="B35" s="25" t="n">
        <v>8.98</v>
      </c>
      <c r="C35" s="6" t="s">
        <v>188</v>
      </c>
      <c r="D35" s="26" t="s">
        <v>54</v>
      </c>
      <c r="E35" s="25" t="n">
        <f aca="false">E34+IFERROR(B35,0)</f>
        <v>2494.73</v>
      </c>
    </row>
    <row r="36" customFormat="false" ht="15" hidden="false" customHeight="false" outlineLevel="0" collapsed="false">
      <c r="A36" s="18" t="n">
        <v>46080</v>
      </c>
      <c r="B36" s="19" t="n">
        <v>8.23</v>
      </c>
      <c r="C36" s="13" t="s">
        <v>287</v>
      </c>
      <c r="D36" s="20" t="s">
        <v>61</v>
      </c>
      <c r="E36" s="19" t="n">
        <f aca="false">E35+IFERROR(B36,0)</f>
        <v>2502.96</v>
      </c>
    </row>
    <row r="37" customFormat="false" ht="15" hidden="false" customHeight="false" outlineLevel="0" collapsed="false">
      <c r="A37" s="26"/>
      <c r="B37" s="25" t="n">
        <v>35.46</v>
      </c>
      <c r="C37" s="6" t="s">
        <v>295</v>
      </c>
      <c r="D37" s="26" t="s">
        <v>36</v>
      </c>
      <c r="E37" s="25" t="n">
        <f aca="false">E36+IFERROR(B37,0)</f>
        <v>2538.42</v>
      </c>
      <c r="G37" s="50" t="s">
        <v>32</v>
      </c>
      <c r="H37" s="50" t="s">
        <v>102</v>
      </c>
    </row>
    <row r="38" customFormat="false" ht="15" hidden="false" customHeight="false" outlineLevel="0" collapsed="false">
      <c r="G38" s="50" t="s">
        <v>36</v>
      </c>
      <c r="H38" s="51" t="n">
        <f aca="false">H6</f>
        <v>194.9</v>
      </c>
    </row>
    <row r="39" customFormat="false" ht="15" hidden="false" customHeight="false" outlineLevel="0" collapsed="false">
      <c r="G39" s="50" t="s">
        <v>105</v>
      </c>
      <c r="H39" s="51" t="n">
        <f aca="false">H7+H10</f>
        <v>373.26</v>
      </c>
    </row>
    <row r="40" customFormat="false" ht="15" hidden="false" customHeight="false" outlineLevel="0" collapsed="false">
      <c r="G40" s="50" t="s">
        <v>46</v>
      </c>
      <c r="H40" s="51" t="n">
        <f aca="false">H8</f>
        <v>62.46</v>
      </c>
    </row>
    <row r="41" customFormat="false" ht="15" hidden="false" customHeight="false" outlineLevel="0" collapsed="false">
      <c r="G41" s="50" t="s">
        <v>54</v>
      </c>
      <c r="H41" s="51" t="n">
        <f aca="false">H9</f>
        <v>8.98</v>
      </c>
    </row>
    <row r="42" customFormat="false" ht="15" hidden="false" customHeight="false" outlineLevel="0" collapsed="false">
      <c r="G42" s="50" t="s">
        <v>269</v>
      </c>
      <c r="H42" s="51" t="n">
        <f aca="false">H11</f>
        <v>116.03</v>
      </c>
    </row>
    <row r="43" customFormat="false" ht="15" hidden="false" customHeight="false" outlineLevel="0" collapsed="false">
      <c r="G43" s="50" t="s">
        <v>74</v>
      </c>
      <c r="H43" s="51" t="n">
        <f aca="false">H12</f>
        <v>604.75</v>
      </c>
    </row>
    <row r="44" customFormat="false" ht="15" hidden="false" customHeight="false" outlineLevel="0" collapsed="false">
      <c r="G44" s="50" t="s">
        <v>177</v>
      </c>
      <c r="H44" s="51" t="n">
        <f aca="false">H13</f>
        <v>668</v>
      </c>
    </row>
    <row r="45" customFormat="false" ht="15" hidden="false" customHeight="false" outlineLevel="0" collapsed="false">
      <c r="G45" s="50" t="s">
        <v>232</v>
      </c>
      <c r="H45" s="51" t="n">
        <f aca="false">H14</f>
        <v>510.04</v>
      </c>
    </row>
  </sheetData>
  <mergeCells count="4">
    <mergeCell ref="G1:I1"/>
    <mergeCell ref="G17:I17"/>
    <mergeCell ref="G25:I25"/>
    <mergeCell ref="G30:I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28"/>
    <col collapsed="false" customWidth="true" hidden="false" outlineLevel="0" max="5" min="4" style="0" width="12"/>
    <col collapsed="false" customWidth="true" hidden="false" outlineLevel="0" max="6" min="6" style="0" width="1.51"/>
    <col collapsed="false" customWidth="true" hidden="false" outlineLevel="0" max="7" min="7" style="0" width="24"/>
    <col collapsed="false" customWidth="true" hidden="false" outlineLevel="0" max="8" min="8" style="0" width="14"/>
    <col collapsed="false" customWidth="true" hidden="false" outlineLevel="0" max="9" min="9" style="0" width="13"/>
  </cols>
  <sheetData>
    <row r="1" customFormat="false" ht="27.75" hidden="false" customHeight="true" outlineLevel="0" collapsed="false">
      <c r="A1" s="16" t="s">
        <v>29</v>
      </c>
      <c r="B1" s="16" t="s">
        <v>30</v>
      </c>
      <c r="C1" s="16" t="s">
        <v>31</v>
      </c>
      <c r="D1" s="16" t="s">
        <v>32</v>
      </c>
      <c r="E1" s="16" t="s">
        <v>33</v>
      </c>
      <c r="G1" s="17" t="s">
        <v>296</v>
      </c>
      <c r="H1" s="17"/>
      <c r="I1" s="17"/>
    </row>
    <row r="2" customFormat="false" ht="15" hidden="false" customHeight="false" outlineLevel="0" collapsed="false">
      <c r="A2" s="18" t="n">
        <v>46082</v>
      </c>
      <c r="B2" s="19" t="n">
        <v>217</v>
      </c>
      <c r="C2" s="8" t="s">
        <v>297</v>
      </c>
      <c r="D2" s="20" t="s">
        <v>177</v>
      </c>
      <c r="E2" s="19" t="n">
        <f aca="false">IFERROR(B2,0)</f>
        <v>217</v>
      </c>
      <c r="G2" s="21" t="s">
        <v>37</v>
      </c>
      <c r="H2" s="22" t="s">
        <v>298</v>
      </c>
      <c r="I2" s="23" t="s">
        <v>38</v>
      </c>
    </row>
    <row r="3" customFormat="false" ht="15" hidden="false" customHeight="false" outlineLevel="0" collapsed="false">
      <c r="G3" s="27"/>
      <c r="H3" s="27"/>
      <c r="I3" s="27"/>
    </row>
    <row r="4" customFormat="false" ht="15" hidden="false" customHeight="false" outlineLevel="0" collapsed="false">
      <c r="G4" s="2" t="s">
        <v>42</v>
      </c>
      <c r="H4" s="28" t="s">
        <v>43</v>
      </c>
      <c r="I4" s="28" t="s">
        <v>44</v>
      </c>
    </row>
    <row r="5" customFormat="false" ht="15" hidden="false" customHeight="false" outlineLevel="0" collapsed="false">
      <c r="G5" s="29" t="s">
        <v>9</v>
      </c>
      <c r="H5" s="30" t="n">
        <f aca="false">SUM(B$2:B$202)</f>
        <v>217</v>
      </c>
      <c r="I5" s="31" t="n">
        <f aca="true">IFERROR((H5-INDIRECT("'"&amp;$H$2&amp;"'!H5"))/INDIRECT("'"&amp;$H$2&amp;"'!H5"),"")</f>
        <v>-0.914513752649286</v>
      </c>
    </row>
    <row r="6" customFormat="false" ht="15" hidden="false" customHeight="false" outlineLevel="0" collapsed="false">
      <c r="G6" s="32" t="s">
        <v>10</v>
      </c>
      <c r="H6" s="33" t="n">
        <f aca="false">SUMIF(D$2:D$202,"생필품",B$2:B$202)</f>
        <v>0</v>
      </c>
      <c r="I6" s="34" t="n">
        <f aca="true">IFERROR((H6-INDIRECT("'"&amp;$H$2&amp;"'!H6"))/INDIRECT("'"&amp;$H$2&amp;"'!H6"),"")</f>
        <v>-1</v>
      </c>
    </row>
    <row r="7" customFormat="false" ht="15" hidden="false" customHeight="false" outlineLevel="0" collapsed="false">
      <c r="G7" s="35" t="s">
        <v>11</v>
      </c>
      <c r="H7" s="36" t="n">
        <f aca="false">SUMIF(D$2:D$202,"식재료",B$2:B$202)</f>
        <v>0</v>
      </c>
      <c r="I7" s="37" t="n">
        <f aca="true">IFERROR((H7-INDIRECT("'"&amp;$H$2&amp;"'!H7"))/INDIRECT("'"&amp;$H$2&amp;"'!H7"),"")</f>
        <v>-1</v>
      </c>
    </row>
    <row r="8" customFormat="false" ht="15" hidden="false" customHeight="false" outlineLevel="0" collapsed="false">
      <c r="G8" s="32" t="s">
        <v>12</v>
      </c>
      <c r="H8" s="33" t="n">
        <f aca="false">SUMIF(D$2:D$202,"보조제",B$2:B$202)</f>
        <v>0</v>
      </c>
      <c r="I8" s="34" t="n">
        <f aca="true">IFERROR((H8-INDIRECT("'"&amp;$H$2&amp;"'!H8"))/INDIRECT("'"&amp;$H$2&amp;"'!H8"),"")</f>
        <v>-1</v>
      </c>
    </row>
    <row r="9" customFormat="false" ht="15" hidden="false" customHeight="false" outlineLevel="0" collapsed="false">
      <c r="G9" s="35" t="s">
        <v>13</v>
      </c>
      <c r="H9" s="36" t="n">
        <f aca="false">SUMIF(D$2:D$202,"교통비",B$2:B$202)</f>
        <v>0</v>
      </c>
      <c r="I9" s="37" t="n">
        <f aca="true">IFERROR((H9-INDIRECT("'"&amp;$H$2&amp;"'!H9"))/INDIRECT("'"&amp;$H$2&amp;"'!H9"),"")</f>
        <v>-1</v>
      </c>
    </row>
    <row r="10" customFormat="false" ht="15" hidden="false" customHeight="false" outlineLevel="0" collapsed="false">
      <c r="G10" s="32" t="s">
        <v>14</v>
      </c>
      <c r="H10" s="33" t="n">
        <f aca="false">SUMIF(D$2:D$202,"외식",B$2:B$202)</f>
        <v>0</v>
      </c>
      <c r="I10" s="34" t="n">
        <f aca="true">IFERROR((H10-INDIRECT("'"&amp;$H$2&amp;"'!H10"))/INDIRECT("'"&amp;$H$2&amp;"'!H10"),"")</f>
        <v>-1</v>
      </c>
    </row>
    <row r="11" customFormat="false" ht="15" hidden="false" customHeight="false" outlineLevel="0" collapsed="false">
      <c r="G11" s="35" t="s">
        <v>15</v>
      </c>
      <c r="H11" s="36" t="n">
        <f aca="false">SUMIF(D$2:D$202,"사치 음식",B$2:B$202)</f>
        <v>0</v>
      </c>
      <c r="I11" s="37" t="n">
        <f aca="true">IFERROR((H11-INDIRECT("'"&amp;$H$2&amp;"'!H11"))/INDIRECT("'"&amp;$H$2&amp;"'!H11"),"")</f>
        <v>-1</v>
      </c>
    </row>
    <row r="12" customFormat="false" ht="15" hidden="false" customHeight="false" outlineLevel="0" collapsed="false">
      <c r="G12" s="32" t="s">
        <v>16</v>
      </c>
      <c r="H12" s="33" t="n">
        <f aca="false">SUMIF(D$2:D$202,"사치품",B$2:B$202)</f>
        <v>0</v>
      </c>
      <c r="I12" s="34" t="n">
        <f aca="true">IFERROR((H12-INDIRECT("'"&amp;$H$2&amp;"'!H12"))/INDIRECT("'"&amp;$H$2&amp;"'!H12"),"")</f>
        <v>-1</v>
      </c>
    </row>
    <row r="13" customFormat="false" ht="15" hidden="false" customHeight="false" outlineLevel="0" collapsed="false">
      <c r="G13" s="35" t="s">
        <v>17</v>
      </c>
      <c r="H13" s="36" t="n">
        <f aca="false">SUMIF(D$2:D$202,"여행",B$2:B$202)</f>
        <v>217</v>
      </c>
      <c r="I13" s="37" t="n">
        <f aca="true">IFERROR((H13-INDIRECT("'"&amp;$H$2&amp;"'!H13"))/INDIRECT("'"&amp;$H$2&amp;"'!H13"),"")</f>
        <v>-0.675149700598802</v>
      </c>
    </row>
    <row r="14" customFormat="false" ht="15" hidden="false" customHeight="false" outlineLevel="0" collapsed="false">
      <c r="G14" s="32" t="s">
        <v>18</v>
      </c>
      <c r="H14" s="33" t="n">
        <f aca="false">SUMIF(D$2:D$202,"자기개발비",B$2:B$202)</f>
        <v>0</v>
      </c>
      <c r="I14" s="34" t="n">
        <f aca="true">IFERROR((H14-INDIRECT("'"&amp;$H$2&amp;"'!H14"))/INDIRECT("'"&amp;$H$2&amp;"'!H14"),"")</f>
        <v>-1</v>
      </c>
    </row>
    <row r="15" customFormat="false" ht="15" hidden="false" customHeight="false" outlineLevel="0" collapsed="false">
      <c r="G15" s="35" t="s">
        <v>19</v>
      </c>
      <c r="H15" s="36" t="n">
        <f aca="false">H5-SUM(H6:H14)</f>
        <v>0</v>
      </c>
      <c r="I15" s="37" t="str">
        <f aca="true">IFERROR((H15-INDIRECT("'"&amp;$H$2&amp;"'!H15"))/INDIRECT("'"&amp;$H$2&amp;"'!H15"),"")</f>
        <v/>
      </c>
    </row>
    <row r="16" customFormat="false" ht="15" hidden="false" customHeight="false" outlineLevel="0" collapsed="false">
      <c r="G16" s="27"/>
      <c r="H16" s="27"/>
      <c r="I16" s="27"/>
    </row>
    <row r="17" customFormat="false" ht="15" hidden="false" customHeight="false" outlineLevel="0" collapsed="false">
      <c r="G17" s="38" t="s">
        <v>62</v>
      </c>
      <c r="H17" s="38"/>
      <c r="I17" s="38"/>
    </row>
    <row r="18" customFormat="false" ht="15" hidden="false" customHeight="false" outlineLevel="0" collapsed="false">
      <c r="G18" s="32" t="s">
        <v>21</v>
      </c>
      <c r="H18" s="33" t="n">
        <f aca="false">H7+H10+H11</f>
        <v>0</v>
      </c>
      <c r="I18" s="41"/>
    </row>
    <row r="19" customFormat="false" ht="15" hidden="false" customHeight="false" outlineLevel="0" collapsed="false">
      <c r="G19" s="39" t="s">
        <v>66</v>
      </c>
      <c r="H19" s="36" t="n">
        <f aca="false">IFERROR(H18/H23,"")</f>
        <v>0</v>
      </c>
      <c r="I19" s="40" t="s">
        <v>67</v>
      </c>
    </row>
    <row r="20" customFormat="false" ht="15" hidden="false" customHeight="false" outlineLevel="0" collapsed="false">
      <c r="G20" s="41" t="s">
        <v>69</v>
      </c>
      <c r="H20" s="33" t="n">
        <f aca="false">IFERROR(H19/2.5,"")</f>
        <v>0</v>
      </c>
      <c r="I20" s="41"/>
    </row>
    <row r="21" customFormat="false" ht="15" hidden="false" customHeight="false" outlineLevel="0" collapsed="false">
      <c r="G21" s="35" t="s">
        <v>71</v>
      </c>
      <c r="H21" s="42" t="str">
        <f aca="false">IFERROR(H10/H7,"")</f>
        <v/>
      </c>
      <c r="I21" s="40" t="s">
        <v>72</v>
      </c>
    </row>
    <row r="22" customFormat="false" ht="15" hidden="false" customHeight="false" outlineLevel="0" collapsed="false">
      <c r="G22" s="27"/>
      <c r="H22" s="27"/>
      <c r="I22" s="27"/>
    </row>
    <row r="23" customFormat="false" ht="15" hidden="false" customHeight="false" outlineLevel="0" collapsed="false">
      <c r="G23" s="43" t="s">
        <v>76</v>
      </c>
      <c r="H23" s="44" t="n">
        <v>31</v>
      </c>
      <c r="I23" s="23" t="s">
        <v>77</v>
      </c>
    </row>
    <row r="24" customFormat="false" ht="15" hidden="false" customHeight="false" outlineLevel="0" collapsed="false">
      <c r="G24" s="27"/>
      <c r="H24" s="27"/>
      <c r="I24" s="27"/>
    </row>
    <row r="25" customFormat="false" ht="15" hidden="false" customHeight="false" outlineLevel="0" collapsed="false">
      <c r="G25" s="38" t="s">
        <v>80</v>
      </c>
      <c r="H25" s="38"/>
      <c r="I25" s="38"/>
    </row>
    <row r="26" customFormat="false" ht="15" hidden="false" customHeight="false" outlineLevel="0" collapsed="false">
      <c r="G26" s="43" t="s">
        <v>82</v>
      </c>
      <c r="H26" s="45" t="n">
        <v>15</v>
      </c>
      <c r="I26" s="23" t="s">
        <v>83</v>
      </c>
    </row>
    <row r="27" customFormat="false" ht="15" hidden="false" customHeight="false" outlineLevel="0" collapsed="false">
      <c r="G27" s="32" t="s">
        <v>85</v>
      </c>
      <c r="H27" s="33" t="n">
        <f aca="false">H26/2.5</f>
        <v>6</v>
      </c>
      <c r="I27" s="41"/>
    </row>
    <row r="28" customFormat="false" ht="15" hidden="false" customHeight="false" outlineLevel="0" collapsed="false">
      <c r="G28" s="46" t="s">
        <v>87</v>
      </c>
      <c r="H28" s="22" t="s">
        <v>88</v>
      </c>
      <c r="I28" s="23" t="s">
        <v>83</v>
      </c>
    </row>
    <row r="29" customFormat="false" ht="15" hidden="false" customHeight="false" outlineLevel="0" collapsed="false">
      <c r="G29" s="27"/>
      <c r="H29" s="27"/>
      <c r="I29" s="27"/>
    </row>
    <row r="30" customFormat="false" ht="15" hidden="false" customHeight="false" outlineLevel="0" collapsed="false">
      <c r="G30" s="38" t="s">
        <v>91</v>
      </c>
      <c r="H30" s="38"/>
      <c r="I30" s="38"/>
    </row>
    <row r="31" customFormat="false" ht="15" hidden="false" customHeight="false" outlineLevel="0" collapsed="false">
      <c r="G31" s="43" t="s">
        <v>26</v>
      </c>
      <c r="H31" s="45" t="n">
        <f aca="false">'2026년 2월'!H31-'2026년 2월'!H5</f>
        <v>3677.7627</v>
      </c>
      <c r="I31" s="23" t="s">
        <v>83</v>
      </c>
    </row>
    <row r="32" customFormat="false" ht="15" hidden="false" customHeight="false" outlineLevel="0" collapsed="false">
      <c r="G32" s="32" t="s">
        <v>27</v>
      </c>
      <c r="H32" s="33" t="n">
        <f aca="false">AVERAGE('2025년 9월'!H5,'2025년 10월'!H5,'2025년 11월'!H5,'2025년 12월'!H5,'2026년 1월'!H5,'2026년 2월'!H5,H5)</f>
        <v>1691.31961428571</v>
      </c>
      <c r="I32" s="41"/>
    </row>
    <row r="33" customFormat="false" ht="15" hidden="false" customHeight="false" outlineLevel="0" collapsed="false">
      <c r="G33" s="46" t="s">
        <v>95</v>
      </c>
      <c r="H33" s="47" t="n">
        <f aca="false">IFERROR(H31/H32,"")</f>
        <v>2.17449302245171</v>
      </c>
      <c r="I33" s="46" t="s">
        <v>96</v>
      </c>
    </row>
    <row r="34" customFormat="false" ht="15" hidden="false" customHeight="false" outlineLevel="0" collapsed="false">
      <c r="G34" s="32" t="s">
        <v>98</v>
      </c>
      <c r="H34" s="48" t="n">
        <f aca="true">IFERROR(TODAY()+H33*30,"")</f>
        <v>46147.2347906736</v>
      </c>
      <c r="I34" s="41"/>
    </row>
    <row r="37" customFormat="false" ht="15" hidden="false" customHeight="false" outlineLevel="0" collapsed="false">
      <c r="G37" s="50" t="s">
        <v>32</v>
      </c>
      <c r="H37" s="50" t="s">
        <v>102</v>
      </c>
    </row>
    <row r="38" customFormat="false" ht="15" hidden="false" customHeight="false" outlineLevel="0" collapsed="false">
      <c r="G38" s="50" t="s">
        <v>177</v>
      </c>
      <c r="H38" s="51" t="n">
        <f aca="false">H13</f>
        <v>217</v>
      </c>
    </row>
  </sheetData>
  <mergeCells count="4">
    <mergeCell ref="G1:I1"/>
    <mergeCell ref="G17:I17"/>
    <mergeCell ref="G25:I25"/>
    <mergeCell ref="G30:I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28"/>
    <col collapsed="false" customWidth="true" hidden="false" outlineLevel="0" max="5" min="4" style="0" width="12"/>
    <col collapsed="false" customWidth="true" hidden="false" outlineLevel="0" max="6" min="6" style="0" width="1.51"/>
    <col collapsed="false" customWidth="true" hidden="false" outlineLevel="0" max="7" min="7" style="0" width="24"/>
    <col collapsed="false" customWidth="true" hidden="false" outlineLevel="0" max="8" min="8" style="0" width="14"/>
    <col collapsed="false" customWidth="true" hidden="false" outlineLevel="0" max="9" min="9" style="0" width="13"/>
  </cols>
  <sheetData>
    <row r="1" customFormat="false" ht="27.75" hidden="false" customHeight="true" outlineLevel="0" collapsed="false">
      <c r="A1" s="17" t="s">
        <v>299</v>
      </c>
      <c r="B1" s="17"/>
      <c r="C1" s="17"/>
      <c r="D1" s="17"/>
      <c r="E1" s="17"/>
      <c r="F1" s="17"/>
      <c r="G1" s="17"/>
      <c r="H1" s="17"/>
      <c r="I1" s="17"/>
    </row>
    <row r="2" customFormat="false" ht="79.5" hidden="false" customHeight="true" outlineLevel="0" collapsed="false">
      <c r="A2" s="52" t="s">
        <v>300</v>
      </c>
      <c r="B2" s="52"/>
      <c r="C2" s="52"/>
      <c r="D2" s="52"/>
      <c r="E2" s="52"/>
      <c r="G2" s="52" t="s">
        <v>301</v>
      </c>
      <c r="H2" s="52"/>
      <c r="I2" s="52"/>
    </row>
    <row r="3" customFormat="false" ht="15" hidden="false" customHeight="true" outlineLevel="0" collapsed="false">
      <c r="A3" s="16" t="s">
        <v>29</v>
      </c>
      <c r="B3" s="16" t="s">
        <v>30</v>
      </c>
      <c r="C3" s="16" t="s">
        <v>31</v>
      </c>
      <c r="D3" s="16" t="s">
        <v>32</v>
      </c>
      <c r="E3" s="16" t="s">
        <v>33</v>
      </c>
      <c r="G3" s="53" t="s">
        <v>302</v>
      </c>
      <c r="H3" s="53"/>
      <c r="I3" s="53"/>
    </row>
    <row r="4" customFormat="false" ht="15" hidden="false" customHeight="false" outlineLevel="0" collapsed="false">
      <c r="A4" s="54"/>
      <c r="B4" s="55"/>
      <c r="C4" s="56"/>
      <c r="D4" s="57"/>
      <c r="E4" s="19" t="n">
        <f aca="false">IFERROR(B4,0)</f>
        <v>0</v>
      </c>
    </row>
    <row r="5" customFormat="false" ht="15" hidden="false" customHeight="false" outlineLevel="0" collapsed="false">
      <c r="A5" s="58"/>
      <c r="B5" s="59"/>
      <c r="C5" s="60"/>
      <c r="D5" s="61"/>
      <c r="E5" s="25" t="n">
        <f aca="false">E4+IFERROR(B5,0)</f>
        <v>0</v>
      </c>
    </row>
    <row r="6" customFormat="false" ht="15" hidden="false" customHeight="false" outlineLevel="0" collapsed="false">
      <c r="A6" s="54"/>
      <c r="B6" s="55"/>
      <c r="C6" s="56"/>
      <c r="D6" s="57"/>
      <c r="E6" s="19" t="n">
        <f aca="false">E5+IFERROR(B6,0)</f>
        <v>0</v>
      </c>
    </row>
    <row r="7" customFormat="false" ht="15" hidden="false" customHeight="false" outlineLevel="0" collapsed="false">
      <c r="A7" s="58"/>
      <c r="B7" s="59"/>
      <c r="C7" s="60"/>
      <c r="D7" s="61"/>
      <c r="E7" s="25" t="n">
        <f aca="false">E6+IFERROR(B7,0)</f>
        <v>0</v>
      </c>
    </row>
    <row r="8" customFormat="false" ht="15" hidden="false" customHeight="false" outlineLevel="0" collapsed="false">
      <c r="A8" s="54"/>
      <c r="B8" s="55"/>
      <c r="C8" s="56"/>
      <c r="D8" s="57"/>
      <c r="E8" s="19" t="n">
        <f aca="false">E7+IFERROR(B8,0)</f>
        <v>0</v>
      </c>
    </row>
    <row r="9" customFormat="false" ht="15" hidden="false" customHeight="false" outlineLevel="0" collapsed="false">
      <c r="A9" s="58"/>
      <c r="B9" s="59"/>
      <c r="C9" s="60"/>
      <c r="D9" s="61"/>
      <c r="E9" s="25" t="n">
        <f aca="false">E8+IFERROR(B9,0)</f>
        <v>0</v>
      </c>
    </row>
    <row r="10" customFormat="false" ht="15" hidden="false" customHeight="false" outlineLevel="0" collapsed="false">
      <c r="A10" s="54"/>
      <c r="B10" s="55"/>
      <c r="C10" s="56"/>
      <c r="D10" s="57"/>
      <c r="E10" s="19" t="n">
        <f aca="false">E9+IFERROR(B10,0)</f>
        <v>0</v>
      </c>
    </row>
    <row r="11" customFormat="false" ht="15" hidden="false" customHeight="false" outlineLevel="0" collapsed="false">
      <c r="A11" s="58"/>
      <c r="B11" s="59"/>
      <c r="C11" s="60"/>
      <c r="D11" s="61"/>
      <c r="E11" s="25" t="n">
        <f aca="false">E10+IFERROR(B11,0)</f>
        <v>0</v>
      </c>
    </row>
    <row r="12" customFormat="false" ht="15" hidden="false" customHeight="false" outlineLevel="0" collapsed="false">
      <c r="A12" s="54"/>
      <c r="B12" s="55"/>
      <c r="C12" s="56"/>
      <c r="D12" s="57"/>
      <c r="E12" s="19" t="n">
        <f aca="false">E11+IFERROR(B12,0)</f>
        <v>0</v>
      </c>
    </row>
    <row r="13" customFormat="false" ht="15" hidden="false" customHeight="false" outlineLevel="0" collapsed="false">
      <c r="A13" s="58"/>
      <c r="B13" s="59"/>
      <c r="C13" s="60"/>
      <c r="D13" s="61"/>
      <c r="E13" s="25" t="n">
        <f aca="false">E12+IFERROR(B13,0)</f>
        <v>0</v>
      </c>
    </row>
    <row r="14" customFormat="false" ht="15" hidden="false" customHeight="false" outlineLevel="0" collapsed="false">
      <c r="A14" s="54"/>
      <c r="B14" s="55"/>
      <c r="C14" s="56"/>
      <c r="D14" s="57"/>
      <c r="E14" s="19" t="n">
        <f aca="false">E13+IFERROR(B14,0)</f>
        <v>0</v>
      </c>
    </row>
    <row r="15" customFormat="false" ht="15" hidden="false" customHeight="false" outlineLevel="0" collapsed="false">
      <c r="A15" s="58"/>
      <c r="B15" s="59"/>
      <c r="C15" s="60"/>
      <c r="D15" s="61"/>
      <c r="E15" s="25" t="n">
        <f aca="false">E14+IFERROR(B15,0)</f>
        <v>0</v>
      </c>
    </row>
    <row r="16" customFormat="false" ht="15" hidden="false" customHeight="false" outlineLevel="0" collapsed="false">
      <c r="A16" s="54"/>
      <c r="B16" s="55"/>
      <c r="C16" s="56"/>
      <c r="D16" s="57"/>
      <c r="E16" s="19" t="n">
        <f aca="false">E15+IFERROR(B16,0)</f>
        <v>0</v>
      </c>
    </row>
    <row r="17" customFormat="false" ht="15" hidden="false" customHeight="false" outlineLevel="0" collapsed="false">
      <c r="A17" s="58"/>
      <c r="B17" s="59"/>
      <c r="C17" s="60"/>
      <c r="D17" s="61"/>
      <c r="E17" s="25" t="n">
        <f aca="false">E16+IFERROR(B17,0)</f>
        <v>0</v>
      </c>
    </row>
    <row r="18" customFormat="false" ht="15" hidden="false" customHeight="false" outlineLevel="0" collapsed="false">
      <c r="A18" s="54"/>
      <c r="B18" s="55"/>
      <c r="C18" s="56"/>
      <c r="D18" s="57"/>
      <c r="E18" s="19" t="n">
        <f aca="false">E17+IFERROR(B18,0)</f>
        <v>0</v>
      </c>
    </row>
    <row r="19" customFormat="false" ht="15" hidden="false" customHeight="false" outlineLevel="0" collapsed="false">
      <c r="A19" s="58"/>
      <c r="B19" s="59"/>
      <c r="C19" s="60"/>
      <c r="D19" s="61"/>
      <c r="E19" s="25" t="n">
        <f aca="false">E18+IFERROR(B19,0)</f>
        <v>0</v>
      </c>
    </row>
    <row r="20" customFormat="false" ht="15" hidden="false" customHeight="false" outlineLevel="0" collapsed="false">
      <c r="A20" s="54"/>
      <c r="B20" s="55"/>
      <c r="C20" s="56"/>
      <c r="D20" s="57"/>
      <c r="E20" s="19" t="n">
        <f aca="false">E19+IFERROR(B20,0)</f>
        <v>0</v>
      </c>
    </row>
    <row r="21" customFormat="false" ht="15" hidden="false" customHeight="false" outlineLevel="0" collapsed="false">
      <c r="A21" s="58"/>
      <c r="B21" s="59"/>
      <c r="C21" s="60"/>
      <c r="D21" s="61"/>
      <c r="E21" s="25" t="n">
        <f aca="false">E20+IFERROR(B21,0)</f>
        <v>0</v>
      </c>
    </row>
    <row r="22" customFormat="false" ht="15" hidden="false" customHeight="false" outlineLevel="0" collapsed="false">
      <c r="A22" s="54"/>
      <c r="B22" s="55"/>
      <c r="C22" s="56"/>
      <c r="D22" s="57"/>
      <c r="E22" s="19" t="n">
        <f aca="false">E21+IFERROR(B22,0)</f>
        <v>0</v>
      </c>
    </row>
    <row r="23" customFormat="false" ht="15" hidden="false" customHeight="false" outlineLevel="0" collapsed="false">
      <c r="A23" s="58"/>
      <c r="B23" s="59"/>
      <c r="C23" s="60"/>
      <c r="D23" s="61"/>
      <c r="E23" s="25" t="n">
        <f aca="false">E22+IFERROR(B23,0)</f>
        <v>0</v>
      </c>
    </row>
    <row r="24" customFormat="false" ht="15" hidden="false" customHeight="false" outlineLevel="0" collapsed="false">
      <c r="A24" s="54"/>
      <c r="B24" s="55"/>
      <c r="C24" s="56"/>
      <c r="D24" s="57"/>
      <c r="E24" s="19" t="n">
        <f aca="false">E23+IFERROR(B24,0)</f>
        <v>0</v>
      </c>
    </row>
    <row r="25" customFormat="false" ht="15" hidden="false" customHeight="false" outlineLevel="0" collapsed="false">
      <c r="A25" s="58"/>
      <c r="B25" s="59"/>
      <c r="C25" s="60"/>
      <c r="D25" s="61"/>
      <c r="E25" s="25" t="n">
        <f aca="false">E24+IFERROR(B25,0)</f>
        <v>0</v>
      </c>
    </row>
    <row r="26" customFormat="false" ht="15" hidden="false" customHeight="false" outlineLevel="0" collapsed="false">
      <c r="A26" s="54"/>
      <c r="B26" s="55"/>
      <c r="C26" s="56"/>
      <c r="D26" s="57"/>
      <c r="E26" s="19" t="n">
        <f aca="false">E25+IFERROR(B26,0)</f>
        <v>0</v>
      </c>
    </row>
    <row r="27" customFormat="false" ht="15" hidden="false" customHeight="false" outlineLevel="0" collapsed="false">
      <c r="A27" s="58"/>
      <c r="B27" s="59"/>
      <c r="C27" s="60"/>
      <c r="D27" s="61"/>
      <c r="E27" s="25" t="n">
        <f aca="false">E26+IFERROR(B27,0)</f>
        <v>0</v>
      </c>
    </row>
    <row r="28" customFormat="false" ht="15" hidden="false" customHeight="false" outlineLevel="0" collapsed="false">
      <c r="A28" s="54"/>
      <c r="B28" s="55"/>
      <c r="C28" s="56"/>
      <c r="D28" s="57"/>
      <c r="E28" s="19" t="n">
        <f aca="false">E27+IFERROR(B28,0)</f>
        <v>0</v>
      </c>
    </row>
    <row r="29" customFormat="false" ht="15" hidden="false" customHeight="false" outlineLevel="0" collapsed="false">
      <c r="A29" s="58"/>
      <c r="B29" s="59"/>
      <c r="C29" s="60"/>
      <c r="D29" s="61"/>
      <c r="E29" s="25" t="n">
        <f aca="false">E28+IFERROR(B29,0)</f>
        <v>0</v>
      </c>
    </row>
    <row r="30" customFormat="false" ht="15" hidden="false" customHeight="false" outlineLevel="0" collapsed="false">
      <c r="A30" s="54"/>
      <c r="B30" s="55"/>
      <c r="C30" s="56"/>
      <c r="D30" s="57"/>
      <c r="E30" s="19" t="n">
        <f aca="false">E29+IFERROR(B30,0)</f>
        <v>0</v>
      </c>
    </row>
    <row r="31" customFormat="false" ht="15" hidden="false" customHeight="false" outlineLevel="0" collapsed="false">
      <c r="A31" s="58"/>
      <c r="B31" s="59"/>
      <c r="C31" s="60"/>
      <c r="D31" s="61"/>
      <c r="E31" s="25" t="n">
        <f aca="false">E30+IFERROR(B31,0)</f>
        <v>0</v>
      </c>
    </row>
    <row r="32" customFormat="false" ht="15" hidden="false" customHeight="false" outlineLevel="0" collapsed="false">
      <c r="A32" s="54"/>
      <c r="B32" s="55"/>
      <c r="C32" s="56"/>
      <c r="D32" s="57"/>
      <c r="E32" s="19" t="n">
        <f aca="false">E31+IFERROR(B32,0)</f>
        <v>0</v>
      </c>
    </row>
    <row r="33" customFormat="false" ht="15" hidden="false" customHeight="false" outlineLevel="0" collapsed="false">
      <c r="A33" s="58"/>
      <c r="B33" s="59"/>
      <c r="C33" s="60"/>
      <c r="D33" s="61"/>
      <c r="E33" s="25" t="n">
        <f aca="false">E32+IFERROR(B33,0)</f>
        <v>0</v>
      </c>
    </row>
    <row r="34" customFormat="false" ht="15" hidden="false" customHeight="false" outlineLevel="0" collapsed="false">
      <c r="A34" s="54"/>
      <c r="B34" s="55"/>
      <c r="C34" s="56"/>
      <c r="D34" s="57"/>
      <c r="E34" s="19" t="n">
        <f aca="false">E33+IFERROR(B34,0)</f>
        <v>0</v>
      </c>
    </row>
    <row r="35" customFormat="false" ht="15" hidden="false" customHeight="false" outlineLevel="0" collapsed="false">
      <c r="A35" s="58"/>
      <c r="B35" s="59"/>
      <c r="C35" s="60"/>
      <c r="D35" s="61"/>
      <c r="E35" s="25" t="n">
        <f aca="false">E34+IFERROR(B35,0)</f>
        <v>0</v>
      </c>
    </row>
    <row r="36" customFormat="false" ht="15" hidden="false" customHeight="false" outlineLevel="0" collapsed="false">
      <c r="A36" s="54"/>
      <c r="B36" s="55"/>
      <c r="C36" s="56"/>
      <c r="D36" s="57"/>
      <c r="E36" s="19" t="n">
        <f aca="false">E35+IFERROR(B36,0)</f>
        <v>0</v>
      </c>
    </row>
    <row r="37" customFormat="false" ht="15" hidden="false" customHeight="false" outlineLevel="0" collapsed="false">
      <c r="A37" s="58"/>
      <c r="B37" s="59"/>
      <c r="C37" s="60"/>
      <c r="D37" s="61"/>
      <c r="E37" s="25" t="n">
        <f aca="false">E36+IFERROR(B37,0)</f>
        <v>0</v>
      </c>
    </row>
    <row r="38" customFormat="false" ht="15" hidden="false" customHeight="false" outlineLevel="0" collapsed="false">
      <c r="A38" s="54"/>
      <c r="B38" s="55"/>
      <c r="C38" s="56"/>
      <c r="D38" s="57"/>
      <c r="E38" s="19" t="n">
        <f aca="false">E37+IFERROR(B38,0)</f>
        <v>0</v>
      </c>
    </row>
    <row r="39" customFormat="false" ht="15" hidden="false" customHeight="false" outlineLevel="0" collapsed="false">
      <c r="A39" s="58"/>
      <c r="B39" s="59"/>
      <c r="C39" s="60"/>
      <c r="D39" s="61"/>
      <c r="E39" s="25" t="n">
        <f aca="false">E38+IFERROR(B39,0)</f>
        <v>0</v>
      </c>
    </row>
    <row r="40" customFormat="false" ht="15" hidden="false" customHeight="false" outlineLevel="0" collapsed="false">
      <c r="A40" s="54"/>
      <c r="B40" s="55"/>
      <c r="C40" s="56"/>
      <c r="D40" s="57"/>
      <c r="E40" s="19" t="n">
        <f aca="false">E39+IFERROR(B40,0)</f>
        <v>0</v>
      </c>
    </row>
    <row r="41" customFormat="false" ht="15" hidden="false" customHeight="false" outlineLevel="0" collapsed="false">
      <c r="A41" s="58"/>
      <c r="B41" s="59"/>
      <c r="C41" s="60"/>
      <c r="D41" s="61"/>
      <c r="E41" s="25" t="n">
        <f aca="false">E40+IFERROR(B41,0)</f>
        <v>0</v>
      </c>
    </row>
    <row r="42" customFormat="false" ht="15" hidden="false" customHeight="false" outlineLevel="0" collapsed="false">
      <c r="A42" s="54"/>
      <c r="B42" s="55"/>
      <c r="C42" s="56"/>
      <c r="D42" s="57"/>
      <c r="E42" s="19" t="n">
        <f aca="false">E41+IFERROR(B42,0)</f>
        <v>0</v>
      </c>
    </row>
    <row r="43" customFormat="false" ht="15" hidden="false" customHeight="false" outlineLevel="0" collapsed="false">
      <c r="A43" s="58"/>
      <c r="B43" s="59"/>
      <c r="C43" s="60"/>
      <c r="D43" s="61"/>
      <c r="E43" s="25" t="n">
        <f aca="false">E42+IFERROR(B43,0)</f>
        <v>0</v>
      </c>
    </row>
    <row r="44" customFormat="false" ht="15" hidden="false" customHeight="false" outlineLevel="0" collapsed="false">
      <c r="A44" s="54"/>
      <c r="B44" s="55"/>
      <c r="C44" s="56"/>
      <c r="D44" s="57"/>
      <c r="E44" s="19" t="n">
        <f aca="false">E43+IFERROR(B44,0)</f>
        <v>0</v>
      </c>
    </row>
    <row r="45" customFormat="false" ht="15" hidden="false" customHeight="false" outlineLevel="0" collapsed="false">
      <c r="A45" s="58"/>
      <c r="B45" s="59"/>
      <c r="C45" s="60"/>
      <c r="D45" s="61"/>
      <c r="E45" s="25" t="n">
        <f aca="false">E44+IFERROR(B45,0)</f>
        <v>0</v>
      </c>
    </row>
    <row r="46" customFormat="false" ht="15" hidden="false" customHeight="false" outlineLevel="0" collapsed="false">
      <c r="A46" s="54"/>
      <c r="B46" s="55"/>
      <c r="C46" s="56"/>
      <c r="D46" s="57"/>
      <c r="E46" s="19" t="n">
        <f aca="false">E45+IFERROR(B46,0)</f>
        <v>0</v>
      </c>
    </row>
    <row r="47" customFormat="false" ht="15" hidden="false" customHeight="false" outlineLevel="0" collapsed="false">
      <c r="A47" s="58"/>
      <c r="B47" s="59"/>
      <c r="C47" s="60"/>
      <c r="D47" s="61"/>
      <c r="E47" s="25" t="n">
        <f aca="false">E46+IFERROR(B47,0)</f>
        <v>0</v>
      </c>
    </row>
    <row r="48" customFormat="false" ht="15" hidden="false" customHeight="false" outlineLevel="0" collapsed="false">
      <c r="A48" s="54"/>
      <c r="B48" s="55"/>
      <c r="C48" s="56"/>
      <c r="D48" s="57"/>
      <c r="E48" s="19" t="n">
        <f aca="false">E47+IFERROR(B48,0)</f>
        <v>0</v>
      </c>
    </row>
    <row r="49" customFormat="false" ht="15" hidden="false" customHeight="false" outlineLevel="0" collapsed="false">
      <c r="A49" s="58"/>
      <c r="B49" s="59"/>
      <c r="C49" s="60"/>
      <c r="D49" s="61"/>
      <c r="E49" s="25" t="n">
        <f aca="false">E48+IFERROR(B49,0)</f>
        <v>0</v>
      </c>
    </row>
    <row r="50" customFormat="false" ht="15" hidden="false" customHeight="false" outlineLevel="0" collapsed="false">
      <c r="A50" s="54"/>
      <c r="B50" s="55"/>
      <c r="C50" s="56"/>
      <c r="D50" s="57"/>
      <c r="E50" s="19" t="n">
        <f aca="false">E49+IFERROR(B50,0)</f>
        <v>0</v>
      </c>
    </row>
    <row r="51" customFormat="false" ht="15" hidden="false" customHeight="false" outlineLevel="0" collapsed="false">
      <c r="A51" s="58"/>
      <c r="B51" s="59"/>
      <c r="C51" s="60"/>
      <c r="D51" s="61"/>
      <c r="E51" s="25" t="n">
        <f aca="false">E50+IFERROR(B51,0)</f>
        <v>0</v>
      </c>
    </row>
    <row r="52" customFormat="false" ht="15" hidden="false" customHeight="false" outlineLevel="0" collapsed="false">
      <c r="A52" s="54"/>
      <c r="B52" s="55"/>
      <c r="C52" s="56"/>
      <c r="D52" s="57"/>
      <c r="E52" s="19" t="n">
        <f aca="false">E51+IFERROR(B52,0)</f>
        <v>0</v>
      </c>
    </row>
    <row r="53" customFormat="false" ht="15" hidden="false" customHeight="false" outlineLevel="0" collapsed="false">
      <c r="A53" s="58"/>
      <c r="B53" s="59"/>
      <c r="C53" s="60"/>
      <c r="D53" s="61"/>
      <c r="E53" s="25" t="n">
        <f aca="false">E52+IFERROR(B53,0)</f>
        <v>0</v>
      </c>
    </row>
    <row r="54" customFormat="false" ht="15" hidden="false" customHeight="false" outlineLevel="0" collapsed="false">
      <c r="A54" s="54"/>
      <c r="B54" s="55"/>
      <c r="C54" s="56"/>
      <c r="D54" s="57"/>
      <c r="E54" s="19" t="n">
        <f aca="false">E53+IFERROR(B54,0)</f>
        <v>0</v>
      </c>
    </row>
    <row r="55" customFormat="false" ht="15" hidden="false" customHeight="false" outlineLevel="0" collapsed="false">
      <c r="A55" s="58"/>
      <c r="B55" s="59"/>
      <c r="C55" s="60"/>
      <c r="D55" s="61"/>
      <c r="E55" s="25" t="n">
        <f aca="false">E54+IFERROR(B55,0)</f>
        <v>0</v>
      </c>
    </row>
    <row r="56" customFormat="false" ht="15" hidden="false" customHeight="false" outlineLevel="0" collapsed="false">
      <c r="A56" s="54"/>
      <c r="B56" s="55"/>
      <c r="C56" s="56"/>
      <c r="D56" s="57"/>
      <c r="E56" s="19" t="n">
        <f aca="false">E55+IFERROR(B56,0)</f>
        <v>0</v>
      </c>
    </row>
    <row r="57" customFormat="false" ht="15" hidden="false" customHeight="false" outlineLevel="0" collapsed="false">
      <c r="A57" s="58"/>
      <c r="B57" s="59"/>
      <c r="C57" s="60"/>
      <c r="D57" s="61"/>
      <c r="E57" s="25" t="n">
        <f aca="false">E56+IFERROR(B57,0)</f>
        <v>0</v>
      </c>
    </row>
    <row r="58" customFormat="false" ht="15" hidden="false" customHeight="false" outlineLevel="0" collapsed="false">
      <c r="A58" s="54"/>
      <c r="B58" s="55"/>
      <c r="C58" s="56"/>
      <c r="D58" s="57"/>
      <c r="E58" s="19" t="n">
        <f aca="false">E57+IFERROR(B58,0)</f>
        <v>0</v>
      </c>
    </row>
    <row r="59" customFormat="false" ht="15" hidden="false" customHeight="false" outlineLevel="0" collapsed="false">
      <c r="A59" s="58"/>
      <c r="B59" s="59"/>
      <c r="C59" s="60"/>
      <c r="D59" s="61"/>
      <c r="E59" s="25" t="n">
        <f aca="false">E58+IFERROR(B59,0)</f>
        <v>0</v>
      </c>
    </row>
    <row r="60" customFormat="false" ht="15" hidden="false" customHeight="false" outlineLevel="0" collapsed="false">
      <c r="A60" s="54"/>
      <c r="B60" s="55"/>
      <c r="C60" s="56"/>
      <c r="D60" s="57"/>
      <c r="E60" s="19" t="n">
        <f aca="false">E59+IFERROR(B60,0)</f>
        <v>0</v>
      </c>
    </row>
    <row r="61" customFormat="false" ht="15" hidden="false" customHeight="false" outlineLevel="0" collapsed="false">
      <c r="A61" s="58"/>
      <c r="B61" s="59"/>
      <c r="C61" s="60"/>
      <c r="D61" s="61"/>
      <c r="E61" s="25" t="n">
        <f aca="false">E60+IFERROR(B61,0)</f>
        <v>0</v>
      </c>
    </row>
    <row r="62" customFormat="false" ht="15" hidden="false" customHeight="false" outlineLevel="0" collapsed="false">
      <c r="A62" s="54"/>
      <c r="B62" s="55"/>
      <c r="C62" s="56"/>
      <c r="D62" s="57"/>
      <c r="E62" s="19" t="n">
        <f aca="false">E61+IFERROR(B62,0)</f>
        <v>0</v>
      </c>
    </row>
    <row r="63" customFormat="false" ht="15" hidden="false" customHeight="false" outlineLevel="0" collapsed="false">
      <c r="A63" s="58"/>
      <c r="B63" s="59"/>
      <c r="C63" s="60"/>
      <c r="D63" s="61"/>
      <c r="E63" s="25" t="n">
        <f aca="false">E62+IFERROR(B63,0)</f>
        <v>0</v>
      </c>
    </row>
    <row r="64" customFormat="false" ht="15" hidden="false" customHeight="false" outlineLevel="0" collapsed="false">
      <c r="A64" s="54"/>
      <c r="B64" s="55"/>
      <c r="C64" s="56"/>
      <c r="D64" s="57"/>
      <c r="E64" s="19" t="n">
        <f aca="false">E63+IFERROR(B64,0)</f>
        <v>0</v>
      </c>
    </row>
    <row r="65" customFormat="false" ht="15" hidden="false" customHeight="false" outlineLevel="0" collapsed="false">
      <c r="A65" s="58"/>
      <c r="B65" s="59"/>
      <c r="C65" s="60"/>
      <c r="D65" s="61"/>
      <c r="E65" s="25" t="n">
        <f aca="false">E64+IFERROR(B65,0)</f>
        <v>0</v>
      </c>
    </row>
    <row r="66" customFormat="false" ht="15" hidden="false" customHeight="false" outlineLevel="0" collapsed="false">
      <c r="A66" s="54"/>
      <c r="B66" s="55"/>
      <c r="C66" s="56"/>
      <c r="D66" s="57"/>
      <c r="E66" s="19" t="n">
        <f aca="false">E65+IFERROR(B66,0)</f>
        <v>0</v>
      </c>
    </row>
    <row r="67" customFormat="false" ht="15" hidden="false" customHeight="false" outlineLevel="0" collapsed="false">
      <c r="A67" s="58"/>
      <c r="B67" s="59"/>
      <c r="C67" s="60"/>
      <c r="D67" s="61"/>
      <c r="E67" s="25" t="n">
        <f aca="false">E66+IFERROR(B67,0)</f>
        <v>0</v>
      </c>
    </row>
    <row r="68" customFormat="false" ht="15" hidden="false" customHeight="false" outlineLevel="0" collapsed="false">
      <c r="A68" s="54"/>
      <c r="B68" s="55"/>
      <c r="C68" s="56"/>
      <c r="D68" s="57"/>
      <c r="E68" s="19" t="n">
        <f aca="false">E67+IFERROR(B68,0)</f>
        <v>0</v>
      </c>
    </row>
    <row r="69" customFormat="false" ht="15" hidden="false" customHeight="false" outlineLevel="0" collapsed="false">
      <c r="A69" s="58"/>
      <c r="B69" s="59"/>
      <c r="C69" s="60"/>
      <c r="D69" s="61"/>
      <c r="E69" s="25" t="n">
        <f aca="false">E68+IFERROR(B69,0)</f>
        <v>0</v>
      </c>
    </row>
    <row r="70" customFormat="false" ht="15" hidden="false" customHeight="false" outlineLevel="0" collapsed="false">
      <c r="A70" s="54"/>
      <c r="B70" s="55"/>
      <c r="C70" s="56"/>
      <c r="D70" s="57"/>
      <c r="E70" s="19" t="n">
        <f aca="false">E69+IFERROR(B70,0)</f>
        <v>0</v>
      </c>
    </row>
    <row r="71" customFormat="false" ht="15" hidden="false" customHeight="false" outlineLevel="0" collapsed="false">
      <c r="A71" s="58"/>
      <c r="B71" s="59"/>
      <c r="C71" s="60"/>
      <c r="D71" s="61"/>
      <c r="E71" s="25" t="n">
        <f aca="false">E70+IFERROR(B71,0)</f>
        <v>0</v>
      </c>
    </row>
    <row r="72" customFormat="false" ht="15" hidden="false" customHeight="false" outlineLevel="0" collapsed="false">
      <c r="A72" s="54"/>
      <c r="B72" s="55"/>
      <c r="C72" s="56"/>
      <c r="D72" s="57"/>
      <c r="E72" s="19" t="n">
        <f aca="false">E71+IFERROR(B72,0)</f>
        <v>0</v>
      </c>
    </row>
    <row r="73" customFormat="false" ht="15" hidden="false" customHeight="false" outlineLevel="0" collapsed="false">
      <c r="A73" s="58"/>
      <c r="B73" s="59"/>
      <c r="C73" s="60"/>
      <c r="D73" s="61"/>
      <c r="E73" s="25" t="n">
        <f aca="false">E72+IFERROR(B73,0)</f>
        <v>0</v>
      </c>
    </row>
    <row r="74" customFormat="false" ht="15" hidden="false" customHeight="false" outlineLevel="0" collapsed="false">
      <c r="A74" s="54"/>
      <c r="B74" s="55"/>
      <c r="C74" s="56"/>
      <c r="D74" s="57"/>
      <c r="E74" s="19" t="n">
        <f aca="false">E73+IFERROR(B74,0)</f>
        <v>0</v>
      </c>
    </row>
    <row r="75" customFormat="false" ht="15" hidden="false" customHeight="false" outlineLevel="0" collapsed="false">
      <c r="A75" s="58"/>
      <c r="B75" s="59"/>
      <c r="C75" s="60"/>
      <c r="D75" s="61"/>
      <c r="E75" s="25" t="n">
        <f aca="false">E74+IFERROR(B75,0)</f>
        <v>0</v>
      </c>
    </row>
    <row r="76" customFormat="false" ht="15" hidden="false" customHeight="false" outlineLevel="0" collapsed="false">
      <c r="A76" s="54"/>
      <c r="B76" s="55"/>
      <c r="C76" s="56"/>
      <c r="D76" s="57"/>
      <c r="E76" s="19" t="n">
        <f aca="false">E75+IFERROR(B76,0)</f>
        <v>0</v>
      </c>
    </row>
    <row r="77" customFormat="false" ht="15" hidden="false" customHeight="false" outlineLevel="0" collapsed="false">
      <c r="A77" s="58"/>
      <c r="B77" s="59"/>
      <c r="C77" s="60"/>
      <c r="D77" s="61"/>
      <c r="E77" s="25" t="n">
        <f aca="false">E76+IFERROR(B77,0)</f>
        <v>0</v>
      </c>
    </row>
    <row r="78" customFormat="false" ht="15" hidden="false" customHeight="false" outlineLevel="0" collapsed="false">
      <c r="A78" s="54"/>
      <c r="B78" s="55"/>
      <c r="C78" s="56"/>
      <c r="D78" s="57"/>
      <c r="E78" s="19" t="n">
        <f aca="false">E77+IFERROR(B78,0)</f>
        <v>0</v>
      </c>
    </row>
    <row r="79" customFormat="false" ht="15" hidden="false" customHeight="false" outlineLevel="0" collapsed="false">
      <c r="A79" s="58"/>
      <c r="B79" s="59"/>
      <c r="C79" s="60"/>
      <c r="D79" s="61"/>
      <c r="E79" s="25" t="n">
        <f aca="false">E78+IFERROR(B79,0)</f>
        <v>0</v>
      </c>
    </row>
    <row r="80" customFormat="false" ht="15" hidden="false" customHeight="false" outlineLevel="0" collapsed="false">
      <c r="A80" s="54"/>
      <c r="B80" s="55"/>
      <c r="C80" s="56"/>
      <c r="D80" s="57"/>
      <c r="E80" s="19" t="n">
        <f aca="false">E79+IFERROR(B80,0)</f>
        <v>0</v>
      </c>
    </row>
    <row r="81" customFormat="false" ht="15" hidden="false" customHeight="false" outlineLevel="0" collapsed="false">
      <c r="A81" s="58"/>
      <c r="B81" s="59"/>
      <c r="C81" s="60"/>
      <c r="D81" s="61"/>
      <c r="E81" s="25" t="n">
        <f aca="false">E80+IFERROR(B81,0)</f>
        <v>0</v>
      </c>
    </row>
    <row r="82" customFormat="false" ht="15" hidden="false" customHeight="false" outlineLevel="0" collapsed="false">
      <c r="A82" s="54"/>
      <c r="B82" s="55"/>
      <c r="C82" s="56"/>
      <c r="D82" s="57"/>
      <c r="E82" s="19" t="n">
        <f aca="false">E81+IFERROR(B82,0)</f>
        <v>0</v>
      </c>
    </row>
    <row r="83" customFormat="false" ht="15" hidden="false" customHeight="false" outlineLevel="0" collapsed="false">
      <c r="A83" s="58"/>
      <c r="B83" s="59"/>
      <c r="C83" s="60"/>
      <c r="D83" s="61"/>
      <c r="E83" s="25" t="n">
        <f aca="false">E82+IFERROR(B83,0)</f>
        <v>0</v>
      </c>
    </row>
    <row r="84" customFormat="false" ht="15" hidden="false" customHeight="false" outlineLevel="0" collapsed="false">
      <c r="A84" s="54"/>
      <c r="B84" s="55"/>
      <c r="C84" s="56"/>
      <c r="D84" s="57"/>
      <c r="E84" s="19" t="n">
        <f aca="false">E83+IFERROR(B84,0)</f>
        <v>0</v>
      </c>
    </row>
    <row r="85" customFormat="false" ht="15" hidden="false" customHeight="false" outlineLevel="0" collapsed="false">
      <c r="A85" s="58"/>
      <c r="B85" s="59"/>
      <c r="C85" s="60"/>
      <c r="D85" s="61"/>
      <c r="E85" s="25" t="n">
        <f aca="false">E84+IFERROR(B85,0)</f>
        <v>0</v>
      </c>
    </row>
    <row r="86" customFormat="false" ht="15" hidden="false" customHeight="false" outlineLevel="0" collapsed="false">
      <c r="A86" s="54"/>
      <c r="B86" s="55"/>
      <c r="C86" s="56"/>
      <c r="D86" s="57"/>
      <c r="E86" s="19" t="n">
        <f aca="false">E85+IFERROR(B86,0)</f>
        <v>0</v>
      </c>
    </row>
    <row r="87" customFormat="false" ht="15" hidden="false" customHeight="false" outlineLevel="0" collapsed="false">
      <c r="A87" s="58"/>
      <c r="B87" s="59"/>
      <c r="C87" s="60"/>
      <c r="D87" s="61"/>
      <c r="E87" s="25" t="n">
        <f aca="false">E86+IFERROR(B87,0)</f>
        <v>0</v>
      </c>
    </row>
    <row r="88" customFormat="false" ht="15" hidden="false" customHeight="false" outlineLevel="0" collapsed="false">
      <c r="A88" s="54"/>
      <c r="B88" s="55"/>
      <c r="C88" s="56"/>
      <c r="D88" s="57"/>
      <c r="E88" s="19" t="n">
        <f aca="false">E87+IFERROR(B88,0)</f>
        <v>0</v>
      </c>
    </row>
    <row r="89" customFormat="false" ht="15" hidden="false" customHeight="false" outlineLevel="0" collapsed="false">
      <c r="A89" s="58"/>
      <c r="B89" s="59"/>
      <c r="C89" s="60"/>
      <c r="D89" s="61"/>
      <c r="E89" s="25" t="n">
        <f aca="false">E88+IFERROR(B89,0)</f>
        <v>0</v>
      </c>
    </row>
    <row r="90" customFormat="false" ht="15" hidden="false" customHeight="false" outlineLevel="0" collapsed="false">
      <c r="A90" s="54"/>
      <c r="B90" s="55"/>
      <c r="C90" s="56"/>
      <c r="D90" s="57"/>
      <c r="E90" s="19" t="n">
        <f aca="false">E89+IFERROR(B90,0)</f>
        <v>0</v>
      </c>
    </row>
    <row r="91" customFormat="false" ht="15" hidden="false" customHeight="false" outlineLevel="0" collapsed="false">
      <c r="A91" s="58"/>
      <c r="B91" s="59"/>
      <c r="C91" s="60"/>
      <c r="D91" s="61"/>
      <c r="E91" s="25" t="n">
        <f aca="false">E90+IFERROR(B91,0)</f>
        <v>0</v>
      </c>
    </row>
    <row r="92" customFormat="false" ht="15" hidden="false" customHeight="false" outlineLevel="0" collapsed="false">
      <c r="A92" s="54"/>
      <c r="B92" s="55"/>
      <c r="C92" s="56"/>
      <c r="D92" s="57"/>
      <c r="E92" s="19" t="n">
        <f aca="false">E91+IFERROR(B92,0)</f>
        <v>0</v>
      </c>
    </row>
    <row r="93" customFormat="false" ht="15" hidden="false" customHeight="false" outlineLevel="0" collapsed="false">
      <c r="A93" s="58"/>
      <c r="B93" s="59"/>
      <c r="C93" s="60"/>
      <c r="D93" s="61"/>
      <c r="E93" s="25" t="n">
        <f aca="false">E92+IFERROR(B93,0)</f>
        <v>0</v>
      </c>
    </row>
    <row r="94" customFormat="false" ht="15" hidden="false" customHeight="false" outlineLevel="0" collapsed="false">
      <c r="A94" s="54"/>
      <c r="B94" s="55"/>
      <c r="C94" s="56"/>
      <c r="D94" s="57"/>
      <c r="E94" s="19" t="n">
        <f aca="false">E93+IFERROR(B94,0)</f>
        <v>0</v>
      </c>
    </row>
    <row r="95" customFormat="false" ht="15" hidden="false" customHeight="false" outlineLevel="0" collapsed="false">
      <c r="A95" s="58"/>
      <c r="B95" s="59"/>
      <c r="C95" s="60"/>
      <c r="D95" s="61"/>
      <c r="E95" s="25" t="n">
        <f aca="false">E94+IFERROR(B95,0)</f>
        <v>0</v>
      </c>
    </row>
    <row r="96" customFormat="false" ht="15" hidden="false" customHeight="false" outlineLevel="0" collapsed="false">
      <c r="A96" s="54"/>
      <c r="B96" s="55"/>
      <c r="C96" s="56"/>
      <c r="D96" s="57"/>
      <c r="E96" s="19" t="n">
        <f aca="false">E95+IFERROR(B96,0)</f>
        <v>0</v>
      </c>
    </row>
    <row r="97" customFormat="false" ht="15" hidden="false" customHeight="false" outlineLevel="0" collapsed="false">
      <c r="A97" s="58"/>
      <c r="B97" s="59"/>
      <c r="C97" s="60"/>
      <c r="D97" s="61"/>
      <c r="E97" s="25" t="n">
        <f aca="false">E96+IFERROR(B97,0)</f>
        <v>0</v>
      </c>
    </row>
    <row r="98" customFormat="false" ht="15" hidden="false" customHeight="false" outlineLevel="0" collapsed="false">
      <c r="A98" s="54"/>
      <c r="B98" s="55"/>
      <c r="C98" s="56"/>
      <c r="D98" s="57"/>
      <c r="E98" s="19" t="n">
        <f aca="false">E97+IFERROR(B98,0)</f>
        <v>0</v>
      </c>
    </row>
    <row r="99" customFormat="false" ht="15" hidden="false" customHeight="false" outlineLevel="0" collapsed="false">
      <c r="A99" s="58"/>
      <c r="B99" s="59"/>
      <c r="C99" s="60"/>
      <c r="D99" s="61"/>
      <c r="E99" s="25" t="n">
        <f aca="false">E98+IFERROR(B99,0)</f>
        <v>0</v>
      </c>
    </row>
    <row r="100" customFormat="false" ht="15" hidden="false" customHeight="false" outlineLevel="0" collapsed="false">
      <c r="A100" s="54"/>
      <c r="B100" s="55"/>
      <c r="C100" s="56"/>
      <c r="D100" s="57"/>
      <c r="E100" s="19" t="n">
        <f aca="false">E99+IFERROR(B100,0)</f>
        <v>0</v>
      </c>
    </row>
    <row r="101" customFormat="false" ht="15" hidden="false" customHeight="false" outlineLevel="0" collapsed="false">
      <c r="A101" s="58"/>
      <c r="B101" s="59"/>
      <c r="C101" s="60"/>
      <c r="D101" s="61"/>
      <c r="E101" s="25" t="n">
        <f aca="false">E100+IFERROR(B101,0)</f>
        <v>0</v>
      </c>
    </row>
    <row r="102" customFormat="false" ht="15" hidden="false" customHeight="false" outlineLevel="0" collapsed="false">
      <c r="A102" s="54"/>
      <c r="B102" s="55"/>
      <c r="C102" s="56"/>
      <c r="D102" s="57"/>
      <c r="E102" s="19" t="n">
        <f aca="false">E101+IFERROR(B102,0)</f>
        <v>0</v>
      </c>
    </row>
    <row r="103" customFormat="false" ht="15" hidden="false" customHeight="false" outlineLevel="0" collapsed="false">
      <c r="A103" s="58"/>
      <c r="B103" s="59"/>
      <c r="C103" s="60"/>
      <c r="D103" s="61"/>
      <c r="E103" s="25" t="n">
        <f aca="false">E102+IFERROR(B103,0)</f>
        <v>0</v>
      </c>
    </row>
  </sheetData>
  <mergeCells count="4">
    <mergeCell ref="A1:I1"/>
    <mergeCell ref="A2:E2"/>
    <mergeCell ref="G2:I2"/>
    <mergeCell ref="G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2026-03-01T07:28:02Z</dcterms:created>
  <dc:creator>openpyxl</dc:creator>
  <dc:description/>
  <dc:language>en-US</dc:language>
  <cp:lastModifiedBy/>
  <dcterms:modified xsi:type="dcterms:W3CDTF">2026-03-01T07:28:27Z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